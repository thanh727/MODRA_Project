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thanh.nt\Desktop\GitHub\Job_Fellowship_App\MODRA\Seed_award_application\MODRA Seed Award – Documents for Your Review and Preparation\"/>
    </mc:Choice>
  </mc:AlternateContent>
  <xr:revisionPtr revIDLastSave="0" documentId="8_{AAC223B8-4791-4CBB-88F0-F29E34C98ABB}" xr6:coauthVersionLast="36" xr6:coauthVersionMax="36" xr10:uidLastSave="{00000000-0000-0000-0000-000000000000}"/>
  <bookViews>
    <workbookView xWindow="0" yWindow="855" windowWidth="34200" windowHeight="21375" activeTab="1" xr2:uid="{00000000-000D-0000-FFFF-FFFF00000000}"/>
  </bookViews>
  <sheets>
    <sheet name="Instructions" sheetId="3" r:id="rId1"/>
    <sheet name="Budget template" sheetId="2" r:id="rId2"/>
  </sheets>
  <definedNames>
    <definedName name="_xlnm._FilterDatabase" localSheetId="1" hidden="1">'Budget template'!$A$10:$U$73</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60" i="2" l="1"/>
  <c r="G66" i="2"/>
  <c r="N62" i="2"/>
  <c r="N61" i="2"/>
  <c r="F73" i="2"/>
  <c r="H73" i="2"/>
  <c r="I73" i="2"/>
  <c r="J73" i="2"/>
  <c r="K73" i="2"/>
  <c r="L73" i="2"/>
  <c r="M73" i="2"/>
  <c r="O73" i="2"/>
  <c r="Q73" i="2"/>
  <c r="R73" i="2"/>
  <c r="S73" i="2"/>
  <c r="T73" i="2"/>
  <c r="E57" i="2"/>
  <c r="K57" i="2"/>
  <c r="J57" i="2"/>
  <c r="I57" i="2"/>
  <c r="H57" i="2"/>
  <c r="G57" i="2"/>
  <c r="K44" i="2"/>
  <c r="G44" i="2"/>
  <c r="H49" i="2"/>
  <c r="H50" i="2"/>
  <c r="H46" i="2"/>
  <c r="H47" i="2"/>
  <c r="H45" i="2"/>
  <c r="I37" i="2"/>
  <c r="G29" i="2"/>
  <c r="K53" i="2"/>
  <c r="K54" i="2"/>
  <c r="K55" i="2"/>
  <c r="K52" i="2"/>
  <c r="K51" i="2"/>
  <c r="J48" i="2"/>
  <c r="E26" i="2" l="1"/>
  <c r="H72" i="2" l="1"/>
  <c r="I72" i="2"/>
  <c r="J72" i="2"/>
  <c r="K72" i="2"/>
  <c r="L72" i="2"/>
  <c r="M72" i="2"/>
  <c r="N72" i="2"/>
  <c r="O72" i="2"/>
  <c r="P72" i="2"/>
  <c r="Q72" i="2"/>
  <c r="R72" i="2"/>
  <c r="S72" i="2"/>
  <c r="T72" i="2"/>
  <c r="U72" i="2"/>
  <c r="G72" i="2"/>
  <c r="V72" i="2"/>
  <c r="K48" i="2"/>
  <c r="L57" i="2"/>
  <c r="N57" i="2"/>
  <c r="O57" i="2"/>
  <c r="P57" i="2"/>
  <c r="Q57" i="2"/>
  <c r="R57" i="2"/>
  <c r="S57" i="2"/>
  <c r="T57" i="2"/>
  <c r="U57" i="2"/>
  <c r="U73" i="2" s="1"/>
  <c r="E51" i="2"/>
  <c r="E52" i="2"/>
  <c r="E53" i="2"/>
  <c r="E54" i="2"/>
  <c r="E55" i="2"/>
  <c r="G31" i="2"/>
  <c r="G33" i="2"/>
  <c r="G34" i="2"/>
  <c r="G35" i="2"/>
  <c r="G36" i="2"/>
  <c r="G38" i="2"/>
  <c r="G40" i="2"/>
  <c r="G41" i="2"/>
  <c r="G42" i="2"/>
  <c r="G43" i="2"/>
  <c r="M57" i="2" l="1"/>
  <c r="E39" i="2"/>
  <c r="E30" i="2"/>
  <c r="G30" i="2" s="1"/>
  <c r="E31" i="2"/>
  <c r="E32" i="2"/>
  <c r="G32" i="2" s="1"/>
  <c r="E33" i="2"/>
  <c r="E34" i="2"/>
  <c r="E35" i="2"/>
  <c r="E36" i="2"/>
  <c r="E37" i="2"/>
  <c r="E38" i="2"/>
  <c r="E40" i="2"/>
  <c r="E41" i="2"/>
  <c r="E42" i="2"/>
  <c r="E43" i="2"/>
  <c r="E44" i="2"/>
  <c r="E45" i="2"/>
  <c r="E46" i="2"/>
  <c r="E47" i="2"/>
  <c r="E48" i="2"/>
  <c r="E49" i="2"/>
  <c r="E50" i="2"/>
  <c r="E29" i="2"/>
  <c r="E62" i="2" l="1"/>
  <c r="E60" i="2"/>
  <c r="E66" i="2"/>
  <c r="E61" i="2"/>
  <c r="V57" i="2" l="1"/>
  <c r="E63" i="2"/>
  <c r="V71" i="2"/>
  <c r="V19" i="2"/>
  <c r="U67" i="2" l="1"/>
  <c r="T67" i="2"/>
  <c r="S67" i="2"/>
  <c r="R67" i="2"/>
  <c r="Q67" i="2"/>
  <c r="P67" i="2"/>
  <c r="O67" i="2"/>
  <c r="N67" i="2"/>
  <c r="M67" i="2"/>
  <c r="L67" i="2"/>
  <c r="K67" i="2"/>
  <c r="J67" i="2"/>
  <c r="I67" i="2"/>
  <c r="U63" i="2"/>
  <c r="T63" i="2"/>
  <c r="S63" i="2"/>
  <c r="R63" i="2"/>
  <c r="Q63" i="2"/>
  <c r="P63" i="2"/>
  <c r="P73" i="2" s="1"/>
  <c r="O63" i="2"/>
  <c r="N63" i="2"/>
  <c r="N73" i="2" s="1"/>
  <c r="M63" i="2"/>
  <c r="L63" i="2"/>
  <c r="K63" i="2"/>
  <c r="J63" i="2"/>
  <c r="I63" i="2"/>
  <c r="U26" i="2"/>
  <c r="T26" i="2"/>
  <c r="S26" i="2"/>
  <c r="R26" i="2"/>
  <c r="Q26" i="2"/>
  <c r="P26" i="2"/>
  <c r="O26" i="2"/>
  <c r="N26" i="2"/>
  <c r="M26" i="2"/>
  <c r="L26" i="2"/>
  <c r="K26" i="2"/>
  <c r="J26" i="2"/>
  <c r="I26" i="2"/>
  <c r="U20" i="2"/>
  <c r="T20" i="2"/>
  <c r="S20" i="2"/>
  <c r="R20" i="2"/>
  <c r="Q20" i="2"/>
  <c r="P20" i="2"/>
  <c r="O20" i="2"/>
  <c r="N20" i="2"/>
  <c r="M20" i="2"/>
  <c r="L20" i="2"/>
  <c r="K20" i="2"/>
  <c r="J20" i="2"/>
  <c r="I20" i="2"/>
  <c r="H20" i="2"/>
  <c r="U14" i="2"/>
  <c r="T14" i="2"/>
  <c r="S14" i="2"/>
  <c r="R14" i="2"/>
  <c r="Q14" i="2"/>
  <c r="P14" i="2"/>
  <c r="O14" i="2"/>
  <c r="N14" i="2"/>
  <c r="M14" i="2"/>
  <c r="L14" i="2"/>
  <c r="K14" i="2"/>
  <c r="J14" i="2"/>
  <c r="I14" i="2"/>
  <c r="V70" i="2"/>
  <c r="V66" i="2"/>
  <c r="V61" i="2"/>
  <c r="E24" i="2"/>
  <c r="V24" i="2" s="1"/>
  <c r="E18" i="2"/>
  <c r="V18" i="2" s="1"/>
  <c r="E12" i="2"/>
  <c r="V12" i="2" s="1"/>
  <c r="G25" i="2"/>
  <c r="G23" i="2"/>
  <c r="G17" i="2"/>
  <c r="G13" i="2"/>
  <c r="E17" i="2" l="1"/>
  <c r="E20" i="2" s="1"/>
  <c r="E67" i="2"/>
  <c r="E73" i="2" s="1"/>
  <c r="H25" i="2"/>
  <c r="V25" i="2" s="1"/>
  <c r="H11" i="2"/>
  <c r="G63" i="2"/>
  <c r="H13" i="2"/>
  <c r="V13" i="2" s="1"/>
  <c r="G67" i="2"/>
  <c r="G73" i="2" s="1"/>
  <c r="G26" i="2"/>
  <c r="G20" i="2"/>
  <c r="G14" i="2"/>
  <c r="H23" i="2"/>
  <c r="H63" i="2" l="1"/>
  <c r="V17" i="2"/>
  <c r="H26" i="2"/>
  <c r="E11" i="2"/>
  <c r="V11" i="2" s="1"/>
  <c r="H14" i="2"/>
  <c r="V67" i="2"/>
  <c r="V63" i="2"/>
  <c r="V20" i="2"/>
  <c r="E23" i="2"/>
  <c r="V73" i="2" l="1"/>
  <c r="V26" i="2"/>
  <c r="B7" i="2"/>
  <c r="V14" i="2"/>
  <c r="V23" i="2"/>
</calcChain>
</file>

<file path=xl/sharedStrings.xml><?xml version="1.0" encoding="utf-8"?>
<sst xmlns="http://schemas.openxmlformats.org/spreadsheetml/2006/main" count="126" uniqueCount="101">
  <si>
    <t>Key classifiers</t>
  </si>
  <si>
    <t>Study title</t>
  </si>
  <si>
    <t>Requested currency should be in the currency that best enables the research.  This is usually USD but if another  currency  is required, please contact your institute finance teams or MODRA leaders to discuss</t>
  </si>
  <si>
    <t xml:space="preserve">Please note that we recognise the monthly profile is indicative and is likely to change throughout the study. </t>
  </si>
  <si>
    <t>PI</t>
  </si>
  <si>
    <t>Start date</t>
  </si>
  <si>
    <t>Duration (no. of months)</t>
  </si>
  <si>
    <t>Currency</t>
  </si>
  <si>
    <t xml:space="preserve">USD </t>
  </si>
  <si>
    <t>Grand total budget</t>
  </si>
  <si>
    <t>Month 1 (December)</t>
  </si>
  <si>
    <t>Month 2 (January)</t>
  </si>
  <si>
    <t>Month 3 (February)</t>
  </si>
  <si>
    <t>Month 4 (March)</t>
  </si>
  <si>
    <t>Month 5 (April)</t>
  </si>
  <si>
    <t>Month 6 (May)</t>
  </si>
  <si>
    <t>Month 7 (June)</t>
  </si>
  <si>
    <t>Month 8 (July)</t>
  </si>
  <si>
    <t>Month 9 (August)</t>
  </si>
  <si>
    <t>Month 10 (September)</t>
  </si>
  <si>
    <t>Month 11 (October)</t>
  </si>
  <si>
    <t>Month 12 (November)</t>
  </si>
  <si>
    <t>Month 13</t>
  </si>
  <si>
    <t>[Insert more columns here if required]</t>
  </si>
  <si>
    <t>Month X</t>
  </si>
  <si>
    <t>Check</t>
  </si>
  <si>
    <t>Notes</t>
  </si>
  <si>
    <t>Ethics and Regulatory Fees</t>
  </si>
  <si>
    <t>&lt;enter text&gt;</t>
  </si>
  <si>
    <t>[insert more lines here if required]</t>
  </si>
  <si>
    <t>Subtotal</t>
  </si>
  <si>
    <t>Equipment</t>
  </si>
  <si>
    <t>Patient compensation</t>
  </si>
  <si>
    <t>Consumables</t>
  </si>
  <si>
    <t>Travel and meeting costs</t>
  </si>
  <si>
    <t>Training costs</t>
  </si>
  <si>
    <t>Miscellaneous costs</t>
  </si>
  <si>
    <t>Unit Cost</t>
  </si>
  <si>
    <t>Unit
(of cost)</t>
  </si>
  <si>
    <t>Quantity</t>
  </si>
  <si>
    <t>MODRA budget template</t>
  </si>
  <si>
    <t>Instructions for completing budget template</t>
  </si>
  <si>
    <t xml:space="preserve">Add and delete rows as necessary.  </t>
  </si>
  <si>
    <t>Be as specific as possible with the names of equipment, tests or reagents.</t>
  </si>
  <si>
    <t>Amounts listed are actual costs.  Depending on the target audience of this budget, appropriate inflations should be added.</t>
  </si>
  <si>
    <t>Please add details in 'notes' column (column P) to provide further details for each budget line e.g. what the multiple is based upon</t>
  </si>
  <si>
    <t>Project Total
(sums the months to the right)</t>
  </si>
  <si>
    <t>gene</t>
  </si>
  <si>
    <t>enzyme</t>
  </si>
  <si>
    <t>antibody</t>
  </si>
  <si>
    <t>bottle</t>
  </si>
  <si>
    <t>course</t>
  </si>
  <si>
    <t>kit</t>
  </si>
  <si>
    <t>Travel to meeting with international colaborators for current project and future funding</t>
  </si>
  <si>
    <t>meeting</t>
  </si>
  <si>
    <t>Cover travel and accomodation cost for graduate students  invole in this study to partipate in a local conference</t>
  </si>
  <si>
    <t>Gene Synthesis Service</t>
  </si>
  <si>
    <t>Custom DNA Primer pairs</t>
  </si>
  <si>
    <t>High-Fidelity DNA Polymerase</t>
  </si>
  <si>
    <t>dNTPs (10mM Mix)</t>
  </si>
  <si>
    <t>T4 DNA Ligase &amp; Buffer</t>
  </si>
  <si>
    <t>Plasmid Miniprep Kit</t>
  </si>
  <si>
    <t>Gel Extraction Kit</t>
  </si>
  <si>
    <t>Sanger Sequencing Service</t>
  </si>
  <si>
    <t>LB Broth Powder</t>
  </si>
  <si>
    <t>Antibiotics (Ampicillin, Kanamycin)</t>
  </si>
  <si>
    <t>IPTG</t>
  </si>
  <si>
    <t>Lysis Buffer Components (Tris, NaCl, Imidazole)</t>
  </si>
  <si>
    <t>Lysozyme &amp; DNase I</t>
  </si>
  <si>
    <t>Ni-NTA Agarose Resin (for His-tag)</t>
  </si>
  <si>
    <t>Pre-cast Gels (e.g., 4-20% Tris-Glycine) + sampling + running buffer + staining</t>
  </si>
  <si>
    <t>Primary Antibody (Anti-His)</t>
  </si>
  <si>
    <t>Secondary Antibody (HRP-conjugated)</t>
  </si>
  <si>
    <t>ECL Substrate</t>
  </si>
  <si>
    <t>Animal Immunization Service</t>
  </si>
  <si>
    <t>High-Binding 96-well ELISA plates</t>
  </si>
  <si>
    <t>ELISA Buffer Components (PBS, Tween-20, BSA, TMB substrate, stop solution)</t>
  </si>
  <si>
    <t>Phagocytic Cell Line (Immortalized Swine Spleen Macrophage Cells)</t>
  </si>
  <si>
    <t>Cell Culture Reagents (RPMI+DMEM media+FBS+Pen/Strep + Baby Rabbit Serum)</t>
  </si>
  <si>
    <t>LDH Cytotoxicity Assay Kit</t>
  </si>
  <si>
    <t>MTT cell viability assays</t>
  </si>
  <si>
    <t>Western Blot membranes (PVDF or nitrocellulose)</t>
  </si>
  <si>
    <t>primer pair</t>
  </si>
  <si>
    <t>Restriction Enzymes</t>
  </si>
  <si>
    <t>sequencing</t>
  </si>
  <si>
    <t>combo</t>
  </si>
  <si>
    <t>combo enzymes</t>
  </si>
  <si>
    <t>column</t>
  </si>
  <si>
    <t>vial</t>
  </si>
  <si>
    <t>box</t>
  </si>
  <si>
    <t>cell line</t>
  </si>
  <si>
    <t>roll</t>
  </si>
  <si>
    <t>conference/travel</t>
  </si>
  <si>
    <t>Local conference to diseminate the result / travel to  meeting with local networking</t>
  </si>
  <si>
    <t>Towards Precision Vaccinology for Streptococcus suis: Genomic Prediction and Rational Antigen Design</t>
  </si>
  <si>
    <t>Nguyen Trung Thanh</t>
  </si>
  <si>
    <t>01.12.2025</t>
  </si>
  <si>
    <t>12 months</t>
  </si>
  <si>
    <t>pcs</t>
  </si>
  <si>
    <t>Online course data science</t>
  </si>
  <si>
    <t>Laptop computer (Macbook 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</si>
</sst>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_(&quot;$&quot;* \(#,##0\);_(&quot;$&quot;* &quot;-&quot;_);_(@_)"/>
    <numFmt numFmtId="43" formatCode="_(* #,##0.00_);_(* \(#,##0.00\);_(* &quot;-&quot;??_);_(@_)"/>
  </numFmts>
  <fonts count="30" x14ac:knownFonts="1">
    <font>
      <sz val="11"/>
      <color theme="1"/>
      <name val="Calibri"/>
      <family val="2"/>
      <scheme val="minor"/>
    </font>
    <font>
      <sz val="12"/>
      <color theme="1"/>
      <name val="Calibri"/>
      <family val="2"/>
      <scheme val="minor"/>
    </font>
    <font>
      <sz val="10"/>
      <name val="Arial"/>
      <family val="2"/>
    </font>
    <font>
      <sz val="12"/>
      <name val="Calibri"/>
      <family val="2"/>
      <scheme val="minor"/>
    </font>
    <font>
      <sz val="10"/>
      <name val="Arial"/>
      <family val="2"/>
    </font>
    <font>
      <b/>
      <sz val="12"/>
      <name val="Calibri"/>
      <family val="2"/>
      <scheme val="minor"/>
    </font>
    <font>
      <b/>
      <sz val="11"/>
      <name val="Calibri"/>
      <family val="2"/>
      <scheme val="minor"/>
    </font>
    <font>
      <sz val="11"/>
      <name val="Calibri"/>
      <family val="2"/>
      <scheme val="minor"/>
    </font>
    <font>
      <b/>
      <sz val="8"/>
      <name val="Tahoma"/>
      <family val="2"/>
    </font>
    <font>
      <sz val="11"/>
      <color indexed="8"/>
      <name val="Calibri"/>
      <family val="2"/>
      <scheme val="minor"/>
    </font>
    <font>
      <sz val="8"/>
      <name val="Tahoma"/>
      <family val="2"/>
    </font>
    <font>
      <b/>
      <sz val="12"/>
      <color rgb="FFC00000"/>
      <name val="Calibri"/>
      <family val="2"/>
      <scheme val="minor"/>
    </font>
    <font>
      <sz val="12"/>
      <color indexed="10"/>
      <name val="Calibri"/>
      <family val="2"/>
      <scheme val="minor"/>
    </font>
    <font>
      <sz val="12"/>
      <color indexed="18"/>
      <name val="Calibri"/>
      <family val="2"/>
      <scheme val="minor"/>
    </font>
    <font>
      <sz val="12"/>
      <color indexed="8"/>
      <name val="Calibri"/>
      <family val="2"/>
      <scheme val="minor"/>
    </font>
    <font>
      <sz val="12"/>
      <color theme="1"/>
      <name val="Calibri"/>
      <family val="2"/>
      <scheme val="minor"/>
    </font>
    <font>
      <b/>
      <sz val="12"/>
      <color theme="1"/>
      <name val="Calibri"/>
      <family val="2"/>
      <scheme val="minor"/>
    </font>
    <font>
      <i/>
      <sz val="11"/>
      <color indexed="8"/>
      <name val="Calibri"/>
      <family val="2"/>
      <scheme val="minor"/>
    </font>
    <font>
      <b/>
      <sz val="12"/>
      <color indexed="18"/>
      <name val="Calibri"/>
      <family val="2"/>
      <scheme val="minor"/>
    </font>
    <font>
      <b/>
      <sz val="12"/>
      <color indexed="10"/>
      <name val="Calibri"/>
      <family val="2"/>
      <scheme val="minor"/>
    </font>
    <font>
      <sz val="11"/>
      <color theme="1"/>
      <name val="Calibri"/>
      <family val="2"/>
      <scheme val="minor"/>
    </font>
    <font>
      <b/>
      <sz val="13"/>
      <color theme="3"/>
      <name val="Calibri"/>
      <family val="2"/>
      <scheme val="minor"/>
    </font>
    <font>
      <b/>
      <sz val="11"/>
      <color theme="3"/>
      <name val="Calibri"/>
      <family val="2"/>
      <scheme val="minor"/>
    </font>
    <font>
      <i/>
      <sz val="12"/>
      <name val="Calibri"/>
      <family val="2"/>
      <scheme val="minor"/>
    </font>
    <font>
      <b/>
      <u/>
      <sz val="11"/>
      <name val="Calibri"/>
      <family val="2"/>
      <scheme val="minor"/>
    </font>
    <font>
      <b/>
      <sz val="13"/>
      <color theme="0"/>
      <name val="Calibri"/>
      <family val="2"/>
      <scheme val="minor"/>
    </font>
    <font>
      <b/>
      <sz val="11"/>
      <color theme="0"/>
      <name val="Calibri"/>
      <family val="2"/>
      <scheme val="minor"/>
    </font>
    <font>
      <b/>
      <u/>
      <sz val="12"/>
      <color theme="1"/>
      <name val="Calibri"/>
      <family val="2"/>
      <scheme val="minor"/>
    </font>
    <font>
      <sz val="10"/>
      <color theme="1"/>
      <name val="Arial"/>
      <family val="2"/>
    </font>
    <font>
      <b/>
      <i/>
      <sz val="11"/>
      <color indexed="8"/>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31859B"/>
        <bgColor indexed="64"/>
      </patternFill>
    </fill>
    <fill>
      <patternFill patternType="solid">
        <fgColor rgb="FFDAEEF4"/>
        <bgColor indexed="64"/>
      </patternFill>
    </fill>
    <fill>
      <patternFill patternType="solid">
        <fgColor rgb="FFD9D9D9"/>
        <bgColor indexed="64"/>
      </patternFill>
    </fill>
  </fills>
  <borders count="20">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right/>
      <top/>
      <bottom style="thick">
        <color theme="4" tint="0.499984740745262"/>
      </bottom>
      <diagonal/>
    </border>
    <border>
      <left/>
      <right/>
      <top/>
      <bottom style="medium">
        <color theme="4" tint="0.39997558519241921"/>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s>
  <cellStyleXfs count="9">
    <xf numFmtId="0" fontId="0" fillId="0" borderId="0"/>
    <xf numFmtId="0" fontId="2" fillId="0" borderId="0"/>
    <xf numFmtId="43" fontId="4" fillId="0" borderId="0" applyFont="0" applyFill="0" applyBorder="0" applyAlignment="0" applyProtection="0"/>
    <xf numFmtId="0" fontId="8" fillId="0" borderId="0" applyNumberFormat="0" applyFill="0" applyBorder="0" applyProtection="0">
      <alignment horizontal="center" wrapText="1"/>
    </xf>
    <xf numFmtId="3" fontId="10" fillId="0" borderId="0" applyFill="0" applyBorder="0" applyProtection="0">
      <alignment horizontal="right"/>
    </xf>
    <xf numFmtId="0" fontId="10" fillId="0" borderId="0" applyFill="0" applyBorder="0" applyProtection="0">
      <alignment horizontal="left" wrapText="1"/>
    </xf>
    <xf numFmtId="42" fontId="20" fillId="0" borderId="0" applyFont="0" applyFill="0" applyBorder="0" applyAlignment="0" applyProtection="0"/>
    <xf numFmtId="0" fontId="21" fillId="0" borderId="5" applyNumberFormat="0" applyFill="0" applyAlignment="0" applyProtection="0"/>
    <xf numFmtId="0" fontId="22" fillId="0" borderId="6" applyNumberFormat="0" applyFill="0" applyAlignment="0" applyProtection="0"/>
  </cellStyleXfs>
  <cellXfs count="160">
    <xf numFmtId="0" fontId="0" fillId="0" borderId="0" xfId="0"/>
    <xf numFmtId="0" fontId="3" fillId="2" borderId="0" xfId="1" applyFont="1" applyFill="1" applyAlignment="1" applyProtection="1">
      <alignment vertical="center"/>
      <protection locked="0"/>
    </xf>
    <xf numFmtId="0" fontId="3" fillId="0" borderId="0" xfId="1" applyFont="1" applyAlignment="1" applyProtection="1">
      <alignment vertical="center"/>
      <protection locked="0"/>
    </xf>
    <xf numFmtId="0" fontId="11" fillId="2" borderId="0" xfId="1" applyFont="1" applyFill="1" applyAlignment="1" applyProtection="1">
      <alignment vertical="center"/>
      <protection locked="0"/>
    </xf>
    <xf numFmtId="0" fontId="12" fillId="2" borderId="0" xfId="1" applyFont="1" applyFill="1" applyAlignment="1" applyProtection="1">
      <alignment vertical="center"/>
      <protection locked="0"/>
    </xf>
    <xf numFmtId="0" fontId="5" fillId="0" borderId="0" xfId="5" applyFont="1" applyFill="1" applyBorder="1" applyAlignment="1" applyProtection="1">
      <alignment vertical="center" wrapText="1"/>
    </xf>
    <xf numFmtId="4" fontId="5" fillId="0" borderId="0" xfId="5" applyNumberFormat="1" applyFont="1" applyFill="1" applyBorder="1" applyAlignment="1" applyProtection="1">
      <alignment horizontal="right" vertical="center" wrapText="1"/>
    </xf>
    <xf numFmtId="4" fontId="5" fillId="0" borderId="0" xfId="5" applyNumberFormat="1" applyFont="1" applyFill="1" applyBorder="1" applyAlignment="1" applyProtection="1">
      <alignment vertical="center" wrapText="1"/>
    </xf>
    <xf numFmtId="0" fontId="15" fillId="0" borderId="0" xfId="1" applyFont="1" applyAlignment="1" applyProtection="1">
      <alignment vertical="center"/>
      <protection locked="0"/>
    </xf>
    <xf numFmtId="0" fontId="3" fillId="2" borderId="0" xfId="1" applyFont="1" applyFill="1" applyAlignment="1" applyProtection="1">
      <alignment horizontal="right" vertical="center"/>
      <protection locked="0"/>
    </xf>
    <xf numFmtId="43" fontId="3" fillId="2" borderId="0" xfId="2" applyFont="1" applyFill="1" applyAlignment="1" applyProtection="1">
      <alignment horizontal="right" vertical="center"/>
      <protection locked="0"/>
    </xf>
    <xf numFmtId="0" fontId="5" fillId="0" borderId="0" xfId="1" applyFont="1" applyAlignment="1" applyProtection="1">
      <alignment horizontal="right" vertical="center" wrapText="1"/>
      <protection locked="0"/>
    </xf>
    <xf numFmtId="0" fontId="6" fillId="0" borderId="0" xfId="1" applyFont="1" applyAlignment="1" applyProtection="1">
      <alignment horizontal="right" vertical="center"/>
      <protection locked="0"/>
    </xf>
    <xf numFmtId="4" fontId="7" fillId="0" borderId="0" xfId="2" applyNumberFormat="1" applyFont="1" applyBorder="1" applyAlignment="1" applyProtection="1">
      <alignment horizontal="right"/>
      <protection locked="0"/>
    </xf>
    <xf numFmtId="0" fontId="3" fillId="0" borderId="0" xfId="1" applyFont="1" applyAlignment="1" applyProtection="1">
      <alignment horizontal="center" vertical="center"/>
      <protection locked="0"/>
    </xf>
    <xf numFmtId="0" fontId="5" fillId="2" borderId="0" xfId="1" applyFont="1" applyFill="1" applyAlignment="1" applyProtection="1">
      <alignment vertical="center"/>
      <protection locked="0"/>
    </xf>
    <xf numFmtId="0" fontId="19" fillId="2" borderId="0" xfId="1" applyFont="1" applyFill="1" applyAlignment="1" applyProtection="1">
      <alignment vertical="center"/>
      <protection locked="0"/>
    </xf>
    <xf numFmtId="0" fontId="5" fillId="0" borderId="0" xfId="1" applyFont="1" applyAlignment="1" applyProtection="1">
      <alignment horizontal="center" vertical="center" wrapText="1"/>
      <protection locked="0"/>
    </xf>
    <xf numFmtId="0" fontId="24" fillId="0" borderId="11" xfId="1" applyFont="1" applyBorder="1" applyAlignment="1" applyProtection="1">
      <alignment horizontal="left" vertical="center"/>
      <protection locked="0"/>
    </xf>
    <xf numFmtId="0" fontId="5" fillId="0" borderId="11" xfId="1" applyFont="1" applyBorder="1" applyAlignment="1" applyProtection="1">
      <alignment vertical="center"/>
      <protection locked="0"/>
    </xf>
    <xf numFmtId="0" fontId="25" fillId="5" borderId="11" xfId="7" applyFont="1" applyFill="1" applyBorder="1" applyAlignment="1" applyProtection="1">
      <alignment vertical="center"/>
      <protection locked="0"/>
    </xf>
    <xf numFmtId="4" fontId="5" fillId="3" borderId="11" xfId="3" applyNumberFormat="1" applyFont="1" applyFill="1" applyBorder="1" applyAlignment="1" applyProtection="1">
      <alignment horizontal="left" vertical="top" wrapText="1"/>
      <protection locked="0"/>
    </xf>
    <xf numFmtId="40" fontId="5" fillId="3" borderId="11" xfId="3" applyNumberFormat="1" applyFont="1" applyFill="1" applyBorder="1" applyAlignment="1" applyProtection="1">
      <alignment horizontal="right" vertical="center" wrapText="1"/>
      <protection locked="0"/>
    </xf>
    <xf numFmtId="4" fontId="5" fillId="3" borderId="11" xfId="3" applyNumberFormat="1" applyFont="1" applyFill="1" applyBorder="1" applyAlignment="1" applyProtection="1">
      <alignment horizontal="center" vertical="center" wrapText="1"/>
      <protection locked="0"/>
    </xf>
    <xf numFmtId="1" fontId="5" fillId="3" borderId="11" xfId="3" applyNumberFormat="1" applyFont="1" applyFill="1" applyBorder="1" applyAlignment="1" applyProtection="1">
      <alignment horizontal="center" vertical="center" wrapText="1"/>
      <protection locked="0"/>
    </xf>
    <xf numFmtId="3" fontId="5" fillId="3" borderId="11" xfId="3" applyNumberFormat="1" applyFont="1" applyFill="1" applyBorder="1" applyAlignment="1" applyProtection="1">
      <alignment horizontal="right" vertical="center" wrapText="1"/>
      <protection locked="0"/>
    </xf>
    <xf numFmtId="3" fontId="3" fillId="3" borderId="11" xfId="2" applyNumberFormat="1" applyFont="1" applyFill="1" applyBorder="1" applyAlignment="1" applyProtection="1">
      <alignment horizontal="right" vertical="center" wrapText="1"/>
    </xf>
    <xf numFmtId="3" fontId="5" fillId="3" borderId="11" xfId="2" applyNumberFormat="1" applyFont="1" applyFill="1" applyBorder="1" applyAlignment="1" applyProtection="1">
      <alignment horizontal="right" vertical="center" wrapText="1"/>
    </xf>
    <xf numFmtId="0" fontId="5" fillId="3" borderId="11" xfId="3" applyFont="1" applyFill="1" applyBorder="1" applyAlignment="1" applyProtection="1">
      <alignment horizontal="center" vertical="center" wrapText="1"/>
    </xf>
    <xf numFmtId="0" fontId="9" fillId="0" borderId="11" xfId="1" applyFont="1" applyBorder="1" applyAlignment="1">
      <alignment horizontal="left" vertical="center"/>
    </xf>
    <xf numFmtId="40" fontId="3" fillId="0" borderId="11" xfId="3" applyNumberFormat="1" applyFont="1" applyBorder="1" applyAlignment="1" applyProtection="1">
      <alignment horizontal="right" vertical="center" wrapText="1"/>
    </xf>
    <xf numFmtId="4" fontId="3" fillId="0" borderId="11" xfId="3" applyNumberFormat="1" applyFont="1" applyBorder="1" applyAlignment="1" applyProtection="1">
      <alignment horizontal="center" vertical="center" wrapText="1"/>
    </xf>
    <xf numFmtId="1" fontId="3" fillId="0" borderId="11" xfId="3" applyNumberFormat="1" applyFont="1" applyBorder="1" applyAlignment="1" applyProtection="1">
      <alignment horizontal="center" vertical="center" wrapText="1"/>
    </xf>
    <xf numFmtId="3" fontId="3" fillId="0" borderId="11" xfId="3" applyNumberFormat="1" applyFont="1" applyFill="1" applyBorder="1" applyAlignment="1" applyProtection="1">
      <alignment horizontal="right" vertical="center" wrapText="1"/>
      <protection locked="0"/>
    </xf>
    <xf numFmtId="3" fontId="3" fillId="0" borderId="11" xfId="2" applyNumberFormat="1" applyFont="1" applyFill="1" applyBorder="1" applyAlignment="1" applyProtection="1">
      <alignment horizontal="right" vertical="center"/>
    </xf>
    <xf numFmtId="3" fontId="5" fillId="0" borderId="11" xfId="2" applyNumberFormat="1" applyFont="1" applyFill="1" applyBorder="1" applyAlignment="1" applyProtection="1">
      <alignment horizontal="right" vertical="center"/>
    </xf>
    <xf numFmtId="4" fontId="3" fillId="0" borderId="11" xfId="4" applyNumberFormat="1" applyFont="1" applyFill="1" applyBorder="1" applyAlignment="1" applyProtection="1">
      <alignment vertical="center"/>
    </xf>
    <xf numFmtId="0" fontId="17" fillId="0" borderId="11" xfId="1" applyFont="1" applyBorder="1" applyAlignment="1">
      <alignment horizontal="left" vertical="center"/>
    </xf>
    <xf numFmtId="0" fontId="3" fillId="0" borderId="11" xfId="5" applyFont="1" applyFill="1" applyBorder="1" applyAlignment="1" applyProtection="1">
      <alignment horizontal="left" vertical="center" wrapText="1"/>
    </xf>
    <xf numFmtId="3" fontId="3" fillId="0" borderId="11" xfId="3" applyNumberFormat="1" applyFont="1" applyBorder="1" applyAlignment="1" applyProtection="1">
      <alignment horizontal="right" vertical="center" wrapText="1"/>
    </xf>
    <xf numFmtId="0" fontId="5" fillId="6" borderId="11" xfId="1" applyFont="1" applyFill="1" applyBorder="1" applyAlignment="1" applyProtection="1">
      <alignment vertical="center"/>
      <protection locked="0"/>
    </xf>
    <xf numFmtId="40" fontId="5" fillId="6" borderId="11" xfId="3" applyNumberFormat="1" applyFont="1" applyFill="1" applyBorder="1" applyAlignment="1" applyProtection="1">
      <alignment horizontal="right" vertical="center" wrapText="1"/>
    </xf>
    <xf numFmtId="4" fontId="5" fillId="6" borderId="11" xfId="3" applyNumberFormat="1" applyFont="1" applyFill="1" applyBorder="1" applyAlignment="1" applyProtection="1">
      <alignment horizontal="center" vertical="center" wrapText="1"/>
    </xf>
    <xf numFmtId="1" fontId="5" fillId="6" borderId="11" xfId="3" applyNumberFormat="1" applyFont="1" applyFill="1" applyBorder="1" applyAlignment="1" applyProtection="1">
      <alignment horizontal="center" vertical="center" wrapText="1"/>
    </xf>
    <xf numFmtId="3" fontId="5" fillId="6" borderId="11" xfId="3" applyNumberFormat="1" applyFont="1" applyFill="1" applyBorder="1" applyAlignment="1" applyProtection="1">
      <alignment horizontal="right" vertical="center" wrapText="1"/>
    </xf>
    <xf numFmtId="4" fontId="5" fillId="6" borderId="11" xfId="4" applyNumberFormat="1" applyFont="1" applyFill="1" applyBorder="1" applyAlignment="1" applyProtection="1">
      <alignment vertical="center"/>
    </xf>
    <xf numFmtId="40" fontId="3" fillId="3" borderId="11" xfId="3" applyNumberFormat="1" applyFont="1" applyFill="1" applyBorder="1" applyAlignment="1" applyProtection="1">
      <alignment horizontal="right" vertical="center" wrapText="1"/>
      <protection locked="0"/>
    </xf>
    <xf numFmtId="4" fontId="3" fillId="3" borderId="11" xfId="3" applyNumberFormat="1" applyFont="1" applyFill="1" applyBorder="1" applyAlignment="1" applyProtection="1">
      <alignment horizontal="center" vertical="center" wrapText="1"/>
      <protection locked="0"/>
    </xf>
    <xf numFmtId="3" fontId="3" fillId="3" borderId="11" xfId="3" applyNumberFormat="1" applyFont="1" applyFill="1" applyBorder="1" applyAlignment="1" applyProtection="1">
      <alignment horizontal="right" vertical="center" wrapText="1"/>
      <protection locked="0"/>
    </xf>
    <xf numFmtId="3" fontId="3" fillId="3" borderId="11" xfId="2" applyNumberFormat="1" applyFont="1" applyFill="1" applyBorder="1" applyAlignment="1" applyProtection="1">
      <alignment horizontal="right" vertical="center" wrapText="1"/>
      <protection locked="0"/>
    </xf>
    <xf numFmtId="3" fontId="5" fillId="3" borderId="11" xfId="2" applyNumberFormat="1" applyFont="1" applyFill="1" applyBorder="1" applyAlignment="1" applyProtection="1">
      <alignment horizontal="right" vertical="center" wrapText="1"/>
      <protection locked="0"/>
    </xf>
    <xf numFmtId="40" fontId="3" fillId="0" borderId="11" xfId="4" applyNumberFormat="1" applyFont="1" applyFill="1" applyBorder="1" applyAlignment="1" applyProtection="1">
      <alignment horizontal="right" vertical="center"/>
    </xf>
    <xf numFmtId="4" fontId="3" fillId="0" borderId="11" xfId="4" applyNumberFormat="1" applyFont="1" applyFill="1" applyBorder="1" applyAlignment="1" applyProtection="1">
      <alignment horizontal="center" vertical="center"/>
    </xf>
    <xf numFmtId="1" fontId="3" fillId="0" borderId="11" xfId="4" applyNumberFormat="1" applyFont="1" applyFill="1" applyBorder="1" applyAlignment="1" applyProtection="1">
      <alignment horizontal="center" vertical="center"/>
    </xf>
    <xf numFmtId="3" fontId="3" fillId="0" borderId="11" xfId="4" applyFont="1" applyFill="1" applyBorder="1" applyAlignment="1" applyProtection="1">
      <alignment horizontal="right" vertical="center"/>
    </xf>
    <xf numFmtId="38" fontId="3" fillId="0" borderId="11" xfId="4" applyNumberFormat="1" applyFont="1" applyFill="1" applyBorder="1" applyAlignment="1" applyProtection="1">
      <alignment horizontal="right" vertical="center"/>
    </xf>
    <xf numFmtId="4" fontId="3" fillId="0" borderId="11" xfId="4" applyNumberFormat="1" applyFont="1" applyFill="1" applyBorder="1" applyAlignment="1" applyProtection="1">
      <alignment horizontal="right" vertical="center"/>
    </xf>
    <xf numFmtId="3" fontId="16" fillId="0" borderId="11" xfId="2" applyNumberFormat="1" applyFont="1" applyFill="1" applyBorder="1" applyAlignment="1" applyProtection="1">
      <alignment horizontal="right" vertical="center"/>
    </xf>
    <xf numFmtId="4" fontId="15" fillId="0" borderId="11" xfId="4" applyNumberFormat="1" applyFont="1" applyFill="1" applyBorder="1" applyAlignment="1" applyProtection="1">
      <alignment vertical="center"/>
    </xf>
    <xf numFmtId="40" fontId="13" fillId="0" borderId="11" xfId="1" applyNumberFormat="1" applyFont="1" applyBorder="1" applyAlignment="1" applyProtection="1">
      <alignment horizontal="right" vertical="center"/>
      <protection locked="0"/>
    </xf>
    <xf numFmtId="0" fontId="13" fillId="0" borderId="11" xfId="1" applyFont="1" applyBorder="1" applyAlignment="1" applyProtection="1">
      <alignment horizontal="right" vertical="center"/>
      <protection locked="0"/>
    </xf>
    <xf numFmtId="3" fontId="13" fillId="0" borderId="11" xfId="1" applyNumberFormat="1" applyFont="1" applyBorder="1" applyAlignment="1" applyProtection="1">
      <alignment horizontal="right" vertical="center"/>
      <protection locked="0"/>
    </xf>
    <xf numFmtId="40" fontId="3" fillId="0" borderId="11" xfId="3" applyNumberFormat="1" applyFont="1" applyFill="1" applyBorder="1" applyAlignment="1" applyProtection="1">
      <alignment horizontal="right" vertical="center" wrapText="1"/>
    </xf>
    <xf numFmtId="4" fontId="3" fillId="0" borderId="11" xfId="3" applyNumberFormat="1" applyFont="1" applyFill="1" applyBorder="1" applyAlignment="1" applyProtection="1">
      <alignment horizontal="center" vertical="center" wrapText="1"/>
    </xf>
    <xf numFmtId="1" fontId="3" fillId="0" borderId="11" xfId="3" applyNumberFormat="1" applyFont="1" applyFill="1" applyBorder="1" applyAlignment="1" applyProtection="1">
      <alignment horizontal="center" vertical="center" wrapText="1"/>
    </xf>
    <xf numFmtId="0" fontId="5" fillId="3" borderId="11" xfId="5" applyFont="1" applyFill="1" applyBorder="1" applyAlignment="1" applyProtection="1">
      <alignment horizontal="left" vertical="center" wrapText="1"/>
    </xf>
    <xf numFmtId="40" fontId="3" fillId="3" borderId="11" xfId="4" applyNumberFormat="1" applyFont="1" applyFill="1" applyBorder="1" applyAlignment="1" applyProtection="1">
      <alignment horizontal="right" vertical="center"/>
    </xf>
    <xf numFmtId="4" fontId="3" fillId="3" borderId="11" xfId="4" applyNumberFormat="1" applyFont="1" applyFill="1" applyBorder="1" applyAlignment="1" applyProtection="1">
      <alignment horizontal="right" vertical="center"/>
    </xf>
    <xf numFmtId="3" fontId="3" fillId="3" borderId="11" xfId="4" applyFont="1" applyFill="1" applyBorder="1" applyAlignment="1" applyProtection="1">
      <alignment horizontal="right" vertical="center"/>
    </xf>
    <xf numFmtId="3" fontId="3" fillId="3" borderId="11" xfId="2" applyNumberFormat="1" applyFont="1" applyFill="1" applyBorder="1" applyAlignment="1" applyProtection="1">
      <alignment horizontal="right" vertical="center"/>
    </xf>
    <xf numFmtId="3" fontId="5" fillId="3" borderId="11" xfId="2" applyNumberFormat="1" applyFont="1" applyFill="1" applyBorder="1" applyAlignment="1" applyProtection="1">
      <alignment horizontal="right" vertical="center"/>
    </xf>
    <xf numFmtId="4" fontId="5" fillId="3" borderId="11" xfId="4" applyNumberFormat="1" applyFont="1" applyFill="1" applyBorder="1" applyAlignment="1" applyProtection="1">
      <alignment vertical="center"/>
    </xf>
    <xf numFmtId="4" fontId="5" fillId="0" borderId="11" xfId="4" applyNumberFormat="1" applyFont="1" applyFill="1" applyBorder="1" applyAlignment="1" applyProtection="1">
      <alignment vertical="center"/>
    </xf>
    <xf numFmtId="0" fontId="3" fillId="0" borderId="11" xfId="3" applyFont="1" applyBorder="1" applyAlignment="1" applyProtection="1">
      <alignment horizontal="center" vertical="center" wrapText="1"/>
    </xf>
    <xf numFmtId="0" fontId="14" fillId="0" borderId="11" xfId="1" applyFont="1" applyBorder="1" applyAlignment="1">
      <alignment horizontal="left" vertical="center"/>
    </xf>
    <xf numFmtId="1" fontId="5" fillId="3" borderId="7" xfId="3" applyNumberFormat="1" applyFont="1" applyFill="1" applyBorder="1" applyAlignment="1" applyProtection="1">
      <alignment horizontal="center" vertical="center" wrapText="1"/>
      <protection locked="0"/>
    </xf>
    <xf numFmtId="43" fontId="5" fillId="4" borderId="7" xfId="2" applyFont="1" applyFill="1" applyBorder="1" applyAlignment="1" applyProtection="1">
      <alignment horizontal="center" vertical="center" wrapText="1"/>
    </xf>
    <xf numFmtId="43" fontId="5" fillId="7" borderId="7" xfId="2" applyFont="1" applyFill="1" applyBorder="1" applyAlignment="1" applyProtection="1">
      <alignment horizontal="center" vertical="center" wrapText="1"/>
    </xf>
    <xf numFmtId="43" fontId="23" fillId="7" borderId="7" xfId="2" applyFont="1" applyFill="1" applyBorder="1" applyAlignment="1" applyProtection="1">
      <alignment horizontal="center" vertical="center" wrapText="1"/>
    </xf>
    <xf numFmtId="0" fontId="5" fillId="7" borderId="8" xfId="3" applyFont="1" applyFill="1" applyBorder="1" applyAlignment="1" applyProtection="1">
      <alignment horizontal="center" vertical="center" wrapText="1"/>
    </xf>
    <xf numFmtId="40" fontId="5" fillId="6" borderId="11" xfId="4" applyNumberFormat="1" applyFont="1" applyFill="1" applyBorder="1" applyAlignment="1" applyProtection="1">
      <alignment horizontal="right" vertical="center"/>
    </xf>
    <xf numFmtId="4" fontId="5" fillId="6" borderId="11" xfId="4" applyNumberFormat="1" applyFont="1" applyFill="1" applyBorder="1" applyAlignment="1" applyProtection="1">
      <alignment horizontal="center" vertical="center"/>
    </xf>
    <xf numFmtId="1" fontId="5" fillId="6" borderId="11" xfId="4" applyNumberFormat="1" applyFont="1" applyFill="1" applyBorder="1" applyAlignment="1" applyProtection="1">
      <alignment horizontal="center" vertical="center"/>
    </xf>
    <xf numFmtId="3" fontId="5" fillId="6" borderId="11" xfId="4" applyFont="1" applyFill="1" applyBorder="1" applyAlignment="1" applyProtection="1">
      <alignment horizontal="right" vertical="center"/>
    </xf>
    <xf numFmtId="40" fontId="5" fillId="0" borderId="11" xfId="3" applyNumberFormat="1" applyFont="1" applyFill="1" applyBorder="1" applyAlignment="1" applyProtection="1">
      <alignment horizontal="right" vertical="center" wrapText="1"/>
    </xf>
    <xf numFmtId="4" fontId="5" fillId="0" borderId="11" xfId="3" applyNumberFormat="1" applyFont="1" applyFill="1" applyBorder="1" applyAlignment="1" applyProtection="1">
      <alignment horizontal="center" vertical="center" wrapText="1"/>
    </xf>
    <xf numFmtId="1" fontId="5" fillId="0" borderId="11" xfId="3" applyNumberFormat="1" applyFont="1" applyFill="1" applyBorder="1" applyAlignment="1" applyProtection="1">
      <alignment horizontal="center" vertical="center" wrapText="1"/>
    </xf>
    <xf numFmtId="3" fontId="5" fillId="0" borderId="11" xfId="3" applyNumberFormat="1" applyFont="1" applyFill="1" applyBorder="1" applyAlignment="1" applyProtection="1">
      <alignment horizontal="right" vertical="center" wrapText="1"/>
    </xf>
    <xf numFmtId="40" fontId="5" fillId="0" borderId="11" xfId="4" applyNumberFormat="1" applyFont="1" applyFill="1" applyBorder="1" applyAlignment="1" applyProtection="1">
      <alignment horizontal="right" vertical="center"/>
    </xf>
    <xf numFmtId="4" fontId="5" fillId="0" borderId="11" xfId="4" applyNumberFormat="1" applyFont="1" applyFill="1" applyBorder="1" applyAlignment="1" applyProtection="1">
      <alignment horizontal="center" vertical="center"/>
    </xf>
    <xf numFmtId="1" fontId="5" fillId="0" borderId="11" xfId="4" applyNumberFormat="1" applyFont="1" applyFill="1" applyBorder="1" applyAlignment="1" applyProtection="1">
      <alignment horizontal="center" vertical="center"/>
    </xf>
    <xf numFmtId="3" fontId="5" fillId="0" borderId="11" xfId="4" applyFont="1" applyFill="1" applyBorder="1" applyAlignment="1" applyProtection="1">
      <alignment horizontal="right" vertical="center"/>
    </xf>
    <xf numFmtId="40" fontId="18" fillId="6" borderId="11" xfId="1" applyNumberFormat="1" applyFont="1" applyFill="1" applyBorder="1" applyAlignment="1" applyProtection="1">
      <alignment horizontal="right" vertical="center"/>
      <protection locked="0"/>
    </xf>
    <xf numFmtId="0" fontId="18" fillId="6" borderId="11" xfId="1" applyFont="1" applyFill="1" applyBorder="1" applyAlignment="1" applyProtection="1">
      <alignment horizontal="right" vertical="center"/>
      <protection locked="0"/>
    </xf>
    <xf numFmtId="3" fontId="18" fillId="6" borderId="11" xfId="1" applyNumberFormat="1" applyFont="1" applyFill="1" applyBorder="1" applyAlignment="1" applyProtection="1">
      <alignment horizontal="right" vertical="center"/>
      <protection locked="0"/>
    </xf>
    <xf numFmtId="4" fontId="5" fillId="6" borderId="11" xfId="4" applyNumberFormat="1" applyFont="1" applyFill="1" applyBorder="1" applyAlignment="1" applyProtection="1">
      <alignment horizontal="right" vertical="center"/>
    </xf>
    <xf numFmtId="40" fontId="5" fillId="6" borderId="11" xfId="4" applyNumberFormat="1" applyFont="1" applyFill="1" applyBorder="1" applyAlignment="1" applyProtection="1">
      <alignment horizontal="right" vertical="center"/>
      <protection locked="0"/>
    </xf>
    <xf numFmtId="4" fontId="5" fillId="6" borderId="11" xfId="4" applyNumberFormat="1" applyFont="1" applyFill="1" applyBorder="1" applyAlignment="1" applyProtection="1">
      <alignment horizontal="center" vertical="center"/>
      <protection locked="0"/>
    </xf>
    <xf numFmtId="2" fontId="5" fillId="6" borderId="11" xfId="4" applyNumberFormat="1" applyFont="1" applyFill="1" applyBorder="1" applyAlignment="1" applyProtection="1">
      <alignment horizontal="center" vertical="center"/>
      <protection locked="0"/>
    </xf>
    <xf numFmtId="3" fontId="5" fillId="6" borderId="11" xfId="4" applyFont="1" applyFill="1" applyBorder="1" applyAlignment="1" applyProtection="1">
      <alignment horizontal="right" vertical="center"/>
      <protection locked="0"/>
    </xf>
    <xf numFmtId="40" fontId="25" fillId="5" borderId="11" xfId="7" applyNumberFormat="1" applyFont="1" applyFill="1" applyBorder="1" applyAlignment="1" applyProtection="1">
      <alignment horizontal="right" vertical="center" wrapText="1"/>
      <protection locked="0"/>
    </xf>
    <xf numFmtId="4" fontId="25" fillId="5" borderId="11" xfId="7" applyNumberFormat="1" applyFont="1" applyFill="1" applyBorder="1" applyAlignment="1" applyProtection="1">
      <alignment horizontal="center" vertical="center" wrapText="1"/>
      <protection locked="0"/>
    </xf>
    <xf numFmtId="4" fontId="25" fillId="5" borderId="11" xfId="7" applyNumberFormat="1" applyFont="1" applyFill="1" applyBorder="1" applyAlignment="1" applyProtection="1">
      <alignment vertical="center"/>
      <protection locked="0"/>
    </xf>
    <xf numFmtId="3" fontId="26" fillId="5" borderId="11" xfId="8" applyNumberFormat="1" applyFont="1" applyFill="1" applyBorder="1" applyAlignment="1" applyProtection="1">
      <alignment horizontal="right" vertical="center" wrapText="1"/>
      <protection locked="0"/>
    </xf>
    <xf numFmtId="4" fontId="26" fillId="5" borderId="11" xfId="8" applyNumberFormat="1" applyFont="1" applyFill="1" applyBorder="1" applyAlignment="1" applyProtection="1">
      <alignment vertical="center" wrapText="1"/>
    </xf>
    <xf numFmtId="0" fontId="27" fillId="2" borderId="0" xfId="0" applyFont="1" applyFill="1"/>
    <xf numFmtId="0" fontId="3" fillId="2" borderId="0" xfId="0" applyFont="1" applyFill="1" applyAlignment="1" applyProtection="1">
      <alignment vertical="center"/>
      <protection locked="0"/>
    </xf>
    <xf numFmtId="0" fontId="5" fillId="2" borderId="0" xfId="0" applyFont="1" applyFill="1" applyAlignment="1" applyProtection="1">
      <alignment vertical="center"/>
      <protection locked="0"/>
    </xf>
    <xf numFmtId="4" fontId="5" fillId="3" borderId="3" xfId="3" applyNumberFormat="1" applyFont="1" applyFill="1" applyBorder="1" applyAlignment="1" applyProtection="1">
      <alignment horizontal="center" vertical="center"/>
      <protection locked="0"/>
    </xf>
    <xf numFmtId="4" fontId="5" fillId="3" borderId="7" xfId="3" applyNumberFormat="1" applyFont="1" applyFill="1" applyBorder="1" applyAlignment="1" applyProtection="1">
      <alignment horizontal="center" vertical="center" wrapText="1"/>
      <protection locked="0"/>
    </xf>
    <xf numFmtId="0" fontId="28" fillId="0" borderId="0" xfId="0" applyFont="1"/>
    <xf numFmtId="0" fontId="29" fillId="0" borderId="11" xfId="1" applyFont="1" applyBorder="1" applyAlignment="1">
      <alignment horizontal="left" vertical="center"/>
    </xf>
    <xf numFmtId="0" fontId="6" fillId="0" borderId="0" xfId="1" applyFont="1" applyAlignment="1" applyProtection="1">
      <alignment horizontal="center" vertical="center"/>
      <protection locked="0"/>
    </xf>
    <xf numFmtId="0" fontId="13" fillId="0" borderId="11" xfId="1" applyFont="1" applyBorder="1" applyAlignment="1" applyProtection="1">
      <alignment horizontal="center" vertical="center"/>
      <protection locked="0"/>
    </xf>
    <xf numFmtId="0" fontId="18" fillId="6" borderId="11" xfId="1" applyFont="1" applyFill="1" applyBorder="1" applyAlignment="1" applyProtection="1">
      <alignment horizontal="center" vertical="center"/>
      <protection locked="0"/>
    </xf>
    <xf numFmtId="1" fontId="3" fillId="3" borderId="11" xfId="4" applyNumberFormat="1" applyFont="1" applyFill="1" applyBorder="1" applyAlignment="1" applyProtection="1">
      <alignment horizontal="center" vertical="center"/>
    </xf>
    <xf numFmtId="4" fontId="5" fillId="0" borderId="0" xfId="5" applyNumberFormat="1" applyFont="1" applyFill="1" applyBorder="1" applyAlignment="1" applyProtection="1">
      <alignment horizontal="center" vertical="center" wrapText="1"/>
    </xf>
    <xf numFmtId="0" fontId="3" fillId="2" borderId="0" xfId="1" applyFont="1" applyFill="1" applyAlignment="1" applyProtection="1">
      <alignment horizontal="center" vertical="center"/>
      <protection locked="0"/>
    </xf>
    <xf numFmtId="0" fontId="3" fillId="0" borderId="11" xfId="4" applyNumberFormat="1" applyFont="1" applyFill="1" applyBorder="1" applyAlignment="1" applyProtection="1">
      <alignment horizontal="right" vertical="center"/>
    </xf>
    <xf numFmtId="0" fontId="15" fillId="0" borderId="11" xfId="4" applyNumberFormat="1" applyFont="1" applyFill="1" applyBorder="1" applyAlignment="1" applyProtection="1">
      <alignment horizontal="right" vertical="center"/>
    </xf>
    <xf numFmtId="0" fontId="0" fillId="0" borderId="0" xfId="0" applyAlignment="1">
      <alignment horizontal="left"/>
    </xf>
    <xf numFmtId="4" fontId="1" fillId="0" borderId="11" xfId="4" applyNumberFormat="1" applyFont="1" applyFill="1" applyBorder="1" applyAlignment="1" applyProtection="1">
      <alignment horizontal="right" vertical="center"/>
    </xf>
    <xf numFmtId="0" fontId="13" fillId="0" borderId="12" xfId="1" applyFont="1" applyBorder="1" applyAlignment="1" applyProtection="1">
      <alignment horizontal="right" vertical="center"/>
      <protection locked="0"/>
    </xf>
    <xf numFmtId="3" fontId="3" fillId="0" borderId="14" xfId="2" applyNumberFormat="1" applyFont="1" applyFill="1" applyBorder="1" applyAlignment="1" applyProtection="1">
      <alignment horizontal="right" vertical="center"/>
    </xf>
    <xf numFmtId="3" fontId="3" fillId="0" borderId="17" xfId="2" applyNumberFormat="1" applyFont="1" applyFill="1" applyBorder="1" applyAlignment="1" applyProtection="1">
      <alignment horizontal="right" vertical="center"/>
    </xf>
    <xf numFmtId="0" fontId="12" fillId="2" borderId="15" xfId="1" applyFont="1" applyFill="1" applyBorder="1" applyAlignment="1" applyProtection="1">
      <alignment vertical="center"/>
      <protection locked="0"/>
    </xf>
    <xf numFmtId="3" fontId="3" fillId="0" borderId="12" xfId="2" applyNumberFormat="1" applyFont="1" applyFill="1" applyBorder="1" applyAlignment="1" applyProtection="1">
      <alignment horizontal="right" vertical="center"/>
    </xf>
    <xf numFmtId="3" fontId="3" fillId="3" borderId="16" xfId="2" applyNumberFormat="1" applyFont="1" applyFill="1" applyBorder="1" applyAlignment="1" applyProtection="1">
      <alignment horizontal="right" vertical="center" wrapText="1"/>
      <protection locked="0"/>
    </xf>
    <xf numFmtId="3" fontId="5" fillId="3" borderId="16" xfId="2" applyNumberFormat="1" applyFont="1" applyFill="1" applyBorder="1" applyAlignment="1" applyProtection="1">
      <alignment horizontal="right" vertical="center" wrapText="1"/>
      <protection locked="0"/>
    </xf>
    <xf numFmtId="3" fontId="16" fillId="0" borderId="17" xfId="2" applyNumberFormat="1" applyFont="1" applyFill="1" applyBorder="1" applyAlignment="1" applyProtection="1">
      <alignment horizontal="right" vertical="center"/>
    </xf>
    <xf numFmtId="43" fontId="3" fillId="2" borderId="15" xfId="2" applyFont="1" applyFill="1" applyBorder="1" applyAlignment="1" applyProtection="1">
      <alignment horizontal="right" vertical="center"/>
      <protection locked="0"/>
    </xf>
    <xf numFmtId="3" fontId="15" fillId="0" borderId="18" xfId="2" applyNumberFormat="1" applyFont="1" applyFill="1" applyBorder="1" applyAlignment="1" applyProtection="1">
      <alignment horizontal="right" vertical="center"/>
    </xf>
    <xf numFmtId="3" fontId="15" fillId="0" borderId="14" xfId="2" applyNumberFormat="1" applyFont="1" applyFill="1" applyBorder="1" applyAlignment="1" applyProtection="1">
      <alignment horizontal="right" vertical="center"/>
    </xf>
    <xf numFmtId="3" fontId="3" fillId="0" borderId="19" xfId="2" applyNumberFormat="1" applyFont="1" applyFill="1" applyBorder="1" applyAlignment="1" applyProtection="1">
      <alignment horizontal="right" vertical="center"/>
    </xf>
    <xf numFmtId="0" fontId="15" fillId="0" borderId="15" xfId="1" applyFont="1" applyBorder="1" applyAlignment="1" applyProtection="1">
      <alignment vertical="center"/>
      <protection locked="0"/>
    </xf>
    <xf numFmtId="42" fontId="25" fillId="5" borderId="11" xfId="6" applyFont="1" applyFill="1" applyBorder="1" applyAlignment="1" applyProtection="1">
      <alignment horizontal="center" vertical="center" wrapText="1"/>
      <protection locked="0"/>
    </xf>
    <xf numFmtId="0" fontId="6" fillId="0" borderId="12" xfId="1" applyFont="1" applyBorder="1" applyAlignment="1" applyProtection="1">
      <alignment horizontal="center" vertical="center"/>
      <protection locked="0"/>
    </xf>
    <xf numFmtId="0" fontId="6" fillId="0" borderId="13" xfId="1" applyFont="1" applyBorder="1" applyAlignment="1" applyProtection="1">
      <alignment horizontal="center" vertical="center"/>
      <protection locked="0"/>
    </xf>
    <xf numFmtId="0" fontId="6" fillId="0" borderId="14" xfId="1" applyFont="1" applyBorder="1" applyAlignment="1" applyProtection="1">
      <alignment horizontal="center" vertical="center"/>
      <protection locked="0"/>
    </xf>
    <xf numFmtId="0" fontId="7" fillId="0" borderId="3" xfId="1" applyFont="1" applyBorder="1" applyAlignment="1" applyProtection="1">
      <alignment horizontal="center" vertical="center" wrapText="1"/>
      <protection locked="0"/>
    </xf>
    <xf numFmtId="0" fontId="7" fillId="0" borderId="7" xfId="1" applyFont="1" applyBorder="1" applyAlignment="1" applyProtection="1">
      <alignment horizontal="center" vertical="center" wrapText="1"/>
      <protection locked="0"/>
    </xf>
    <xf numFmtId="0" fontId="7" fillId="0" borderId="8" xfId="1" applyFont="1" applyBorder="1" applyAlignment="1" applyProtection="1">
      <alignment horizontal="center" vertical="center" wrapText="1"/>
      <protection locked="0"/>
    </xf>
    <xf numFmtId="0" fontId="7" fillId="0" borderId="9" xfId="1" applyFont="1" applyBorder="1" applyAlignment="1" applyProtection="1">
      <alignment horizontal="center" vertical="center" wrapText="1"/>
      <protection locked="0"/>
    </xf>
    <xf numFmtId="0" fontId="7" fillId="0" borderId="0" xfId="1" applyFont="1" applyAlignment="1" applyProtection="1">
      <alignment horizontal="center" vertical="center" wrapText="1"/>
      <protection locked="0"/>
    </xf>
    <xf numFmtId="0" fontId="7" fillId="0" borderId="10" xfId="1" applyFont="1" applyBorder="1" applyAlignment="1" applyProtection="1">
      <alignment horizontal="center" vertical="center" wrapText="1"/>
      <protection locked="0"/>
    </xf>
    <xf numFmtId="0" fontId="7" fillId="0" borderId="1" xfId="1" applyFont="1" applyBorder="1" applyAlignment="1" applyProtection="1">
      <alignment horizontal="center" vertical="center" wrapText="1"/>
      <protection locked="0"/>
    </xf>
    <xf numFmtId="0" fontId="7" fillId="0" borderId="2" xfId="1" applyFont="1" applyBorder="1" applyAlignment="1" applyProtection="1">
      <alignment horizontal="center" vertical="center" wrapText="1"/>
      <protection locked="0"/>
    </xf>
    <xf numFmtId="0" fontId="7" fillId="0" borderId="4" xfId="1" applyFont="1" applyBorder="1" applyAlignment="1" applyProtection="1">
      <alignment horizontal="center" vertical="center" wrapText="1"/>
      <protection locked="0"/>
    </xf>
    <xf numFmtId="0" fontId="3" fillId="0" borderId="3" xfId="1" applyFont="1" applyBorder="1" applyAlignment="1" applyProtection="1">
      <alignment horizontal="center" vertical="center" wrapText="1"/>
      <protection locked="0"/>
    </xf>
    <xf numFmtId="0" fontId="3" fillId="0" borderId="7" xfId="1" applyFont="1" applyBorder="1" applyAlignment="1" applyProtection="1">
      <alignment horizontal="center" vertical="center" wrapText="1"/>
      <protection locked="0"/>
    </xf>
    <xf numFmtId="0" fontId="3" fillId="0" borderId="8" xfId="1" applyFont="1" applyBorder="1" applyAlignment="1" applyProtection="1">
      <alignment horizontal="center" vertical="center" wrapText="1"/>
      <protection locked="0"/>
    </xf>
    <xf numFmtId="0" fontId="3" fillId="0" borderId="9" xfId="1" applyFont="1" applyBorder="1" applyAlignment="1" applyProtection="1">
      <alignment horizontal="center" vertical="center" wrapText="1"/>
      <protection locked="0"/>
    </xf>
    <xf numFmtId="0" fontId="3" fillId="0" borderId="0" xfId="1" applyFont="1" applyAlignment="1" applyProtection="1">
      <alignment horizontal="center" vertical="center" wrapText="1"/>
      <protection locked="0"/>
    </xf>
    <xf numFmtId="0" fontId="3" fillId="0" borderId="10" xfId="1" applyFont="1" applyBorder="1" applyAlignment="1" applyProtection="1">
      <alignment horizontal="center" vertical="center" wrapText="1"/>
      <protection locked="0"/>
    </xf>
    <xf numFmtId="0" fontId="3" fillId="0" borderId="1" xfId="1" applyFont="1" applyBorder="1" applyAlignment="1" applyProtection="1">
      <alignment horizontal="center" vertical="center" wrapText="1"/>
      <protection locked="0"/>
    </xf>
    <xf numFmtId="0" fontId="3" fillId="0" borderId="2" xfId="1" applyFont="1" applyBorder="1" applyAlignment="1" applyProtection="1">
      <alignment horizontal="center" vertical="center" wrapText="1"/>
      <protection locked="0"/>
    </xf>
    <xf numFmtId="0" fontId="3" fillId="0" borderId="4" xfId="1" applyFont="1" applyBorder="1" applyAlignment="1" applyProtection="1">
      <alignment horizontal="center" vertical="center" wrapText="1"/>
      <protection locked="0"/>
    </xf>
    <xf numFmtId="0" fontId="3" fillId="0" borderId="11" xfId="1" applyFont="1" applyBorder="1" applyAlignment="1" applyProtection="1">
      <alignment horizontal="center" vertical="center" wrapText="1"/>
      <protection locked="0"/>
    </xf>
    <xf numFmtId="15" fontId="7" fillId="0" borderId="11" xfId="1" applyNumberFormat="1" applyFont="1" applyBorder="1" applyAlignment="1" applyProtection="1">
      <alignment horizontal="center" vertical="center"/>
      <protection locked="0"/>
    </xf>
    <xf numFmtId="0" fontId="7" fillId="0" borderId="11" xfId="1" applyFont="1" applyBorder="1" applyAlignment="1" applyProtection="1">
      <alignment horizontal="center" vertical="center"/>
      <protection locked="0"/>
    </xf>
  </cellXfs>
  <cellStyles count="9">
    <cellStyle name="Comma 2" xfId="2" xr:uid="{00000000-0005-0000-0000-000000000000}"/>
    <cellStyle name="Currency [0]" xfId="6" builtinId="7"/>
    <cellStyle name="Heading 2" xfId="7" builtinId="17"/>
    <cellStyle name="Heading 3" xfId="8" builtinId="18"/>
    <cellStyle name="HeadingStyle" xfId="3" xr:uid="{00000000-0005-0000-0000-000004000000}"/>
    <cellStyle name="Normal" xfId="0" builtinId="0"/>
    <cellStyle name="Normal 2" xfId="1" xr:uid="{00000000-0005-0000-0000-000006000000}"/>
    <cellStyle name="NumStyleDec" xfId="4" xr:uid="{00000000-0005-0000-0000-000007000000}"/>
    <cellStyle name="TextStyle" xfId="5" xr:uid="{00000000-0005-0000-0000-000008000000}"/>
  </cellStyles>
  <dxfs count="0"/>
  <tableStyles count="0" defaultTableStyle="TableStyleMedium2" defaultPivotStyle="PivotStyleLight16"/>
  <colors>
    <mruColors>
      <color rgb="FF31859B"/>
      <color rgb="FFDAEEF4"/>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12</xdr:col>
      <xdr:colOff>203933</xdr:colOff>
      <xdr:row>5</xdr:row>
      <xdr:rowOff>136074</xdr:rowOff>
    </xdr:from>
    <xdr:to>
      <xdr:col>13</xdr:col>
      <xdr:colOff>410053</xdr:colOff>
      <xdr:row>7</xdr:row>
      <xdr:rowOff>179266</xdr:rowOff>
    </xdr:to>
    <xdr:sp macro="" textlink="">
      <xdr:nvSpPr>
        <xdr:cNvPr id="4" name="Right Arrow 3">
          <a:extLst>
            <a:ext uri="{FF2B5EF4-FFF2-40B4-BE49-F238E27FC236}">
              <a16:creationId xmlns:a16="http://schemas.microsoft.com/office/drawing/2014/main" id="{00000000-0008-0000-0000-000004000000}"/>
            </a:ext>
          </a:extLst>
        </xdr:cNvPr>
        <xdr:cNvSpPr/>
      </xdr:nvSpPr>
      <xdr:spPr>
        <a:xfrm rot="5400000">
          <a:off x="12729130" y="891449"/>
          <a:ext cx="451406" cy="1145013"/>
        </a:xfrm>
        <a:prstGeom prst="rightArrow">
          <a:avLst/>
        </a:prstGeom>
        <a:solidFill>
          <a:schemeClr val="bg1">
            <a:lumMod val="9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7BC5A-285F-4253-9B13-5A667BDFEA17}">
  <dimension ref="B2:B8"/>
  <sheetViews>
    <sheetView topLeftCell="A2" workbookViewId="0"/>
  </sheetViews>
  <sheetFormatPr defaultColWidth="8.85546875" defaultRowHeight="15" x14ac:dyDescent="0.25"/>
  <sheetData>
    <row r="2" spans="2:2" ht="15.75" x14ac:dyDescent="0.25">
      <c r="B2" s="105" t="s">
        <v>40</v>
      </c>
    </row>
    <row r="3" spans="2:2" ht="15.75" x14ac:dyDescent="0.25">
      <c r="B3" s="106"/>
    </row>
    <row r="4" spans="2:2" ht="15.75" x14ac:dyDescent="0.25">
      <c r="B4" s="107" t="s">
        <v>41</v>
      </c>
    </row>
    <row r="5" spans="2:2" ht="15.75" x14ac:dyDescent="0.25">
      <c r="B5" s="106" t="s">
        <v>42</v>
      </c>
    </row>
    <row r="6" spans="2:2" ht="15.75" x14ac:dyDescent="0.25">
      <c r="B6" s="106" t="s">
        <v>43</v>
      </c>
    </row>
    <row r="7" spans="2:2" ht="15.75" x14ac:dyDescent="0.25">
      <c r="B7" s="106" t="s">
        <v>44</v>
      </c>
    </row>
    <row r="8" spans="2:2" ht="15.75" x14ac:dyDescent="0.25">
      <c r="B8" s="106"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75"/>
  <sheetViews>
    <sheetView tabSelected="1" zoomScale="90" zoomScaleNormal="90" workbookViewId="0">
      <pane xSplit="5" ySplit="9" topLeftCell="F28" activePane="bottomRight" state="frozen"/>
      <selection pane="topRight" activeCell="G1" sqref="G1"/>
      <selection pane="bottomLeft" activeCell="A10" sqref="A10"/>
      <selection pane="bottomRight" activeCell="A21" sqref="A21"/>
    </sheetView>
  </sheetViews>
  <sheetFormatPr defaultColWidth="8.42578125" defaultRowHeight="15.75" x14ac:dyDescent="0.25"/>
  <cols>
    <col min="1" max="1" width="86.7109375" style="1" bestFit="1" customWidth="1"/>
    <col min="2" max="2" width="13.85546875" style="1" customWidth="1"/>
    <col min="3" max="3" width="16" style="1" customWidth="1"/>
    <col min="4" max="4" width="11.42578125" style="117" customWidth="1"/>
    <col min="5" max="5" width="29" style="9" bestFit="1" customWidth="1"/>
    <col min="6" max="6" width="3.7109375" style="9" customWidth="1"/>
    <col min="7" max="11" width="14" style="10" customWidth="1"/>
    <col min="12" max="12" width="12.7109375" style="10" customWidth="1"/>
    <col min="13" max="13" width="14" style="10" customWidth="1"/>
    <col min="14" max="14" width="12.7109375" style="10" customWidth="1"/>
    <col min="15" max="21" width="14" style="10" customWidth="1"/>
    <col min="22" max="22" width="7.7109375" style="10" customWidth="1"/>
    <col min="23" max="23" width="61.28515625" style="1" customWidth="1"/>
    <col min="24" max="24" width="8.42578125" style="1" customWidth="1"/>
    <col min="25" max="16384" width="8.42578125" style="1"/>
  </cols>
  <sheetData>
    <row r="1" spans="1:51" ht="18" customHeight="1" x14ac:dyDescent="0.25">
      <c r="A1" s="18" t="s">
        <v>0</v>
      </c>
      <c r="B1" s="136"/>
      <c r="C1" s="137"/>
      <c r="D1" s="137"/>
      <c r="E1" s="138"/>
      <c r="F1" s="12"/>
      <c r="G1" s="12"/>
      <c r="H1" s="12"/>
      <c r="I1" s="12"/>
      <c r="J1" s="12"/>
      <c r="K1" s="12"/>
      <c r="L1" s="12"/>
      <c r="M1" s="12"/>
      <c r="N1" s="12"/>
      <c r="O1" s="12"/>
      <c r="P1" s="12"/>
      <c r="Q1" s="12"/>
      <c r="R1" s="12"/>
      <c r="S1" s="12"/>
      <c r="T1" s="12"/>
      <c r="U1" s="12"/>
      <c r="V1" s="12"/>
      <c r="W1" s="12"/>
    </row>
    <row r="2" spans="1:51" ht="40.5" customHeight="1" x14ac:dyDescent="0.25">
      <c r="A2" s="19" t="s">
        <v>1</v>
      </c>
      <c r="B2" s="157" t="s">
        <v>94</v>
      </c>
      <c r="C2" s="157"/>
      <c r="D2" s="157"/>
      <c r="E2" s="157"/>
      <c r="F2" s="11"/>
      <c r="G2" s="139" t="s">
        <v>2</v>
      </c>
      <c r="H2" s="140"/>
      <c r="I2" s="140"/>
      <c r="J2" s="141"/>
      <c r="K2" s="11"/>
      <c r="L2" s="148" t="s">
        <v>3</v>
      </c>
      <c r="M2" s="149"/>
      <c r="N2" s="149"/>
      <c r="O2" s="150"/>
      <c r="P2" s="17"/>
      <c r="Q2" s="11"/>
      <c r="R2" s="11"/>
      <c r="S2" s="11"/>
      <c r="T2" s="11"/>
      <c r="U2" s="11"/>
      <c r="V2" s="11"/>
      <c r="W2" s="12"/>
    </row>
    <row r="3" spans="1:51" ht="15.75" customHeight="1" x14ac:dyDescent="0.25">
      <c r="A3" s="19" t="s">
        <v>4</v>
      </c>
      <c r="B3" s="157" t="s">
        <v>95</v>
      </c>
      <c r="C3" s="157"/>
      <c r="D3" s="157"/>
      <c r="E3" s="157"/>
      <c r="F3" s="11"/>
      <c r="G3" s="142"/>
      <c r="H3" s="143"/>
      <c r="I3" s="143"/>
      <c r="J3" s="144"/>
      <c r="K3" s="11"/>
      <c r="L3" s="151"/>
      <c r="M3" s="152"/>
      <c r="N3" s="152"/>
      <c r="O3" s="153"/>
      <c r="P3" s="17"/>
      <c r="Q3" s="11"/>
      <c r="R3" s="11"/>
      <c r="S3" s="11"/>
      <c r="T3" s="11"/>
      <c r="U3" s="11"/>
      <c r="V3" s="11"/>
      <c r="W3" s="12"/>
    </row>
    <row r="4" spans="1:51" x14ac:dyDescent="0.25">
      <c r="A4" s="19" t="s">
        <v>5</v>
      </c>
      <c r="B4" s="158" t="s">
        <v>96</v>
      </c>
      <c r="C4" s="158"/>
      <c r="D4" s="158"/>
      <c r="E4" s="158"/>
      <c r="F4" s="12"/>
      <c r="G4" s="142"/>
      <c r="H4" s="143"/>
      <c r="I4" s="143"/>
      <c r="J4" s="144"/>
      <c r="K4" s="12"/>
      <c r="L4" s="151"/>
      <c r="M4" s="152"/>
      <c r="N4" s="152"/>
      <c r="O4" s="153"/>
      <c r="P4" s="17"/>
      <c r="Q4" s="12"/>
      <c r="R4" s="12"/>
      <c r="S4" s="12"/>
      <c r="T4" s="12"/>
      <c r="U4" s="12"/>
      <c r="V4" s="12"/>
      <c r="W4" s="12"/>
    </row>
    <row r="5" spans="1:51" x14ac:dyDescent="0.25">
      <c r="A5" s="19" t="s">
        <v>6</v>
      </c>
      <c r="B5" s="158" t="s">
        <v>97</v>
      </c>
      <c r="C5" s="158"/>
      <c r="D5" s="158"/>
      <c r="E5" s="158"/>
      <c r="F5" s="12"/>
      <c r="G5" s="142"/>
      <c r="H5" s="143"/>
      <c r="I5" s="143"/>
      <c r="J5" s="144"/>
      <c r="K5" s="12"/>
      <c r="L5" s="151"/>
      <c r="M5" s="152"/>
      <c r="N5" s="152"/>
      <c r="O5" s="153"/>
      <c r="P5" s="17"/>
      <c r="Q5" s="12"/>
      <c r="R5" s="12"/>
      <c r="S5" s="12"/>
      <c r="T5" s="12"/>
      <c r="U5" s="12"/>
      <c r="V5" s="12"/>
      <c r="W5" s="12"/>
    </row>
    <row r="6" spans="1:51" ht="15.75" customHeight="1" x14ac:dyDescent="0.25">
      <c r="A6" s="19" t="s">
        <v>7</v>
      </c>
      <c r="B6" s="159" t="s">
        <v>8</v>
      </c>
      <c r="C6" s="159"/>
      <c r="D6" s="159"/>
      <c r="E6" s="159"/>
      <c r="F6" s="12"/>
      <c r="G6" s="145"/>
      <c r="H6" s="146"/>
      <c r="I6" s="146"/>
      <c r="J6" s="147"/>
      <c r="K6" s="12"/>
      <c r="L6" s="154"/>
      <c r="M6" s="155"/>
      <c r="N6" s="155"/>
      <c r="O6" s="156"/>
      <c r="P6" s="17"/>
      <c r="Q6" s="12"/>
      <c r="R6" s="12"/>
      <c r="S6" s="12"/>
      <c r="T6" s="12"/>
      <c r="U6" s="12"/>
      <c r="V6" s="12"/>
      <c r="W6" s="12"/>
    </row>
    <row r="7" spans="1:51" ht="15.75" customHeight="1" x14ac:dyDescent="0.25">
      <c r="A7" s="20" t="s">
        <v>9</v>
      </c>
      <c r="B7" s="135">
        <f>E73</f>
        <v>29992</v>
      </c>
      <c r="C7" s="135"/>
      <c r="D7" s="135"/>
      <c r="E7" s="135"/>
      <c r="F7" s="12"/>
      <c r="G7" s="12"/>
      <c r="H7" s="12"/>
      <c r="I7" s="12"/>
      <c r="J7" s="12"/>
      <c r="K7" s="12"/>
      <c r="L7" s="12"/>
      <c r="M7" s="12"/>
      <c r="N7" s="12"/>
      <c r="O7" s="12"/>
      <c r="P7" s="12"/>
      <c r="Q7" s="12"/>
      <c r="R7" s="12"/>
      <c r="S7" s="12"/>
      <c r="T7" s="12"/>
      <c r="U7" s="12"/>
      <c r="V7" s="12"/>
      <c r="W7" s="12"/>
    </row>
    <row r="8" spans="1:51" x14ac:dyDescent="0.25">
      <c r="A8" s="12"/>
      <c r="B8" s="12"/>
      <c r="C8" s="12"/>
      <c r="D8" s="112"/>
      <c r="E8" s="12"/>
      <c r="F8" s="12"/>
      <c r="G8" s="12"/>
      <c r="H8" s="12"/>
      <c r="I8" s="12"/>
      <c r="J8" s="12"/>
      <c r="K8" s="12"/>
      <c r="L8" s="13"/>
      <c r="M8" s="13"/>
      <c r="N8" s="13"/>
      <c r="O8" s="13"/>
      <c r="P8" s="13"/>
      <c r="Q8" s="13"/>
      <c r="R8" s="13"/>
      <c r="S8" s="13"/>
      <c r="T8" s="13"/>
      <c r="U8" s="13"/>
      <c r="V8" s="13"/>
      <c r="W8" s="12"/>
    </row>
    <row r="9" spans="1:51" s="14" customFormat="1" ht="47.25" x14ac:dyDescent="0.25">
      <c r="A9" s="12"/>
      <c r="B9" s="108" t="s">
        <v>37</v>
      </c>
      <c r="C9" s="109" t="s">
        <v>38</v>
      </c>
      <c r="D9" s="75" t="s">
        <v>39</v>
      </c>
      <c r="E9" s="75" t="s">
        <v>46</v>
      </c>
      <c r="F9" s="76"/>
      <c r="G9" s="77" t="s">
        <v>10</v>
      </c>
      <c r="H9" s="77" t="s">
        <v>11</v>
      </c>
      <c r="I9" s="77" t="s">
        <v>12</v>
      </c>
      <c r="J9" s="77" t="s">
        <v>13</v>
      </c>
      <c r="K9" s="77" t="s">
        <v>14</v>
      </c>
      <c r="L9" s="77" t="s">
        <v>15</v>
      </c>
      <c r="M9" s="77" t="s">
        <v>16</v>
      </c>
      <c r="N9" s="77" t="s">
        <v>17</v>
      </c>
      <c r="O9" s="77" t="s">
        <v>18</v>
      </c>
      <c r="P9" s="77" t="s">
        <v>19</v>
      </c>
      <c r="Q9" s="77" t="s">
        <v>20</v>
      </c>
      <c r="R9" s="77" t="s">
        <v>21</v>
      </c>
      <c r="S9" s="77" t="s">
        <v>22</v>
      </c>
      <c r="T9" s="78" t="s">
        <v>23</v>
      </c>
      <c r="U9" s="77" t="s">
        <v>24</v>
      </c>
      <c r="V9" s="77" t="s">
        <v>25</v>
      </c>
      <c r="W9" s="79" t="s">
        <v>26</v>
      </c>
      <c r="X9" s="1"/>
      <c r="Y9" s="1"/>
      <c r="Z9" s="1"/>
      <c r="AA9" s="1"/>
      <c r="AB9" s="1"/>
      <c r="AC9" s="1"/>
      <c r="AD9" s="1"/>
      <c r="AE9" s="1"/>
      <c r="AF9" s="1"/>
      <c r="AG9" s="1"/>
      <c r="AH9" s="1"/>
      <c r="AI9" s="1"/>
      <c r="AJ9" s="1"/>
      <c r="AK9" s="1"/>
      <c r="AL9" s="1"/>
      <c r="AM9" s="1"/>
      <c r="AN9" s="1"/>
      <c r="AO9" s="1"/>
      <c r="AP9" s="1"/>
      <c r="AQ9" s="1"/>
      <c r="AR9" s="1"/>
      <c r="AS9" s="1"/>
      <c r="AT9" s="1"/>
      <c r="AU9" s="1"/>
      <c r="AV9" s="1"/>
      <c r="AW9" s="1"/>
      <c r="AX9" s="1"/>
      <c r="AY9" s="1"/>
    </row>
    <row r="10" spans="1:51" x14ac:dyDescent="0.25">
      <c r="A10" s="21" t="s">
        <v>27</v>
      </c>
      <c r="B10" s="22"/>
      <c r="C10" s="23"/>
      <c r="D10" s="24"/>
      <c r="E10" s="25"/>
      <c r="F10" s="25"/>
      <c r="G10" s="26"/>
      <c r="H10" s="26"/>
      <c r="I10" s="26"/>
      <c r="J10" s="27"/>
      <c r="K10" s="27"/>
      <c r="L10" s="27"/>
      <c r="M10" s="27"/>
      <c r="N10" s="27"/>
      <c r="O10" s="27"/>
      <c r="P10" s="27"/>
      <c r="Q10" s="27"/>
      <c r="R10" s="27"/>
      <c r="S10" s="27"/>
      <c r="T10" s="27"/>
      <c r="U10" s="27"/>
      <c r="V10" s="27"/>
      <c r="W10" s="28"/>
    </row>
    <row r="11" spans="1:51" x14ac:dyDescent="0.25">
      <c r="A11" s="29" t="s">
        <v>28</v>
      </c>
      <c r="B11" s="30"/>
      <c r="C11" s="31"/>
      <c r="D11" s="32"/>
      <c r="E11" s="33">
        <f>SUM(G11:U11)</f>
        <v>0</v>
      </c>
      <c r="F11" s="33"/>
      <c r="G11" s="34">
        <v>0</v>
      </c>
      <c r="H11" s="34">
        <f>C11*G11</f>
        <v>0</v>
      </c>
      <c r="I11" s="34"/>
      <c r="J11" s="35"/>
      <c r="K11" s="35"/>
      <c r="L11" s="35"/>
      <c r="M11" s="35"/>
      <c r="N11" s="35"/>
      <c r="O11" s="35"/>
      <c r="P11" s="35"/>
      <c r="Q11" s="35"/>
      <c r="R11" s="35"/>
      <c r="S11" s="35"/>
      <c r="T11" s="35"/>
      <c r="U11" s="35"/>
      <c r="V11" s="35">
        <f>SUM(G11:U11)-E11</f>
        <v>0</v>
      </c>
      <c r="W11" s="36"/>
    </row>
    <row r="12" spans="1:51" x14ac:dyDescent="0.25">
      <c r="A12" s="37" t="s">
        <v>29</v>
      </c>
      <c r="B12" s="30"/>
      <c r="C12" s="31"/>
      <c r="D12" s="32"/>
      <c r="E12" s="33">
        <f>SUM(G12:U12)</f>
        <v>0</v>
      </c>
      <c r="F12" s="33"/>
      <c r="G12" s="34"/>
      <c r="H12" s="34"/>
      <c r="I12" s="34"/>
      <c r="J12" s="35"/>
      <c r="K12" s="35"/>
      <c r="L12" s="35"/>
      <c r="M12" s="35"/>
      <c r="N12" s="35"/>
      <c r="O12" s="35"/>
      <c r="P12" s="35"/>
      <c r="Q12" s="35"/>
      <c r="R12" s="35"/>
      <c r="S12" s="35"/>
      <c r="T12" s="35"/>
      <c r="U12" s="35"/>
      <c r="V12" s="35">
        <f t="shared" ref="V12:V13" si="0">SUM(G12:U12)-E12</f>
        <v>0</v>
      </c>
      <c r="W12" s="36"/>
    </row>
    <row r="13" spans="1:51" x14ac:dyDescent="0.25">
      <c r="A13" s="38"/>
      <c r="B13" s="30"/>
      <c r="C13" s="31"/>
      <c r="D13" s="32"/>
      <c r="E13" s="39"/>
      <c r="F13" s="39"/>
      <c r="G13" s="34">
        <f>B13*D13</f>
        <v>0</v>
      </c>
      <c r="H13" s="34">
        <f>C13*G13</f>
        <v>0</v>
      </c>
      <c r="I13" s="34"/>
      <c r="J13" s="35"/>
      <c r="K13" s="35"/>
      <c r="L13" s="35"/>
      <c r="M13" s="35"/>
      <c r="N13" s="35"/>
      <c r="O13" s="35"/>
      <c r="P13" s="35"/>
      <c r="Q13" s="35"/>
      <c r="R13" s="35"/>
      <c r="S13" s="35"/>
      <c r="T13" s="35"/>
      <c r="U13" s="35"/>
      <c r="V13" s="35">
        <f t="shared" si="0"/>
        <v>0</v>
      </c>
      <c r="W13" s="36"/>
    </row>
    <row r="14" spans="1:51" s="15" customFormat="1" x14ac:dyDescent="0.25">
      <c r="A14" s="40" t="s">
        <v>30</v>
      </c>
      <c r="B14" s="41"/>
      <c r="C14" s="42"/>
      <c r="D14" s="43"/>
      <c r="E14" s="44"/>
      <c r="F14" s="44"/>
      <c r="G14" s="44">
        <f t="shared" ref="G14:U14" si="1">SUM(G11:G13)</f>
        <v>0</v>
      </c>
      <c r="H14" s="44">
        <f t="shared" si="1"/>
        <v>0</v>
      </c>
      <c r="I14" s="44">
        <f t="shared" si="1"/>
        <v>0</v>
      </c>
      <c r="J14" s="44">
        <f t="shared" si="1"/>
        <v>0</v>
      </c>
      <c r="K14" s="44">
        <f t="shared" si="1"/>
        <v>0</v>
      </c>
      <c r="L14" s="44">
        <f t="shared" si="1"/>
        <v>0</v>
      </c>
      <c r="M14" s="44">
        <f t="shared" si="1"/>
        <v>0</v>
      </c>
      <c r="N14" s="44">
        <f t="shared" si="1"/>
        <v>0</v>
      </c>
      <c r="O14" s="44">
        <f t="shared" si="1"/>
        <v>0</v>
      </c>
      <c r="P14" s="44">
        <f t="shared" si="1"/>
        <v>0</v>
      </c>
      <c r="Q14" s="44">
        <f t="shared" si="1"/>
        <v>0</v>
      </c>
      <c r="R14" s="44">
        <f t="shared" si="1"/>
        <v>0</v>
      </c>
      <c r="S14" s="44">
        <f t="shared" si="1"/>
        <v>0</v>
      </c>
      <c r="T14" s="44">
        <f t="shared" si="1"/>
        <v>0</v>
      </c>
      <c r="U14" s="44">
        <f t="shared" si="1"/>
        <v>0</v>
      </c>
      <c r="V14" s="44">
        <f>SUM(G14:U14)-E14</f>
        <v>0</v>
      </c>
      <c r="W14" s="45"/>
    </row>
    <row r="15" spans="1:51" s="15" customFormat="1" x14ac:dyDescent="0.25">
      <c r="A15" s="19"/>
      <c r="B15" s="84"/>
      <c r="C15" s="85"/>
      <c r="D15" s="86"/>
      <c r="E15" s="87"/>
      <c r="F15" s="87"/>
      <c r="G15" s="87"/>
      <c r="H15" s="87"/>
      <c r="I15" s="87"/>
      <c r="J15" s="87"/>
      <c r="K15" s="87"/>
      <c r="L15" s="87"/>
      <c r="M15" s="87"/>
      <c r="N15" s="87"/>
      <c r="O15" s="87"/>
      <c r="P15" s="87"/>
      <c r="Q15" s="87"/>
      <c r="R15" s="87"/>
      <c r="S15" s="87"/>
      <c r="T15" s="87"/>
      <c r="U15" s="87"/>
      <c r="V15" s="87"/>
      <c r="W15" s="72"/>
    </row>
    <row r="16" spans="1:51" x14ac:dyDescent="0.25">
      <c r="A16" s="21" t="s">
        <v>31</v>
      </c>
      <c r="B16" s="46"/>
      <c r="C16" s="47"/>
      <c r="D16" s="47"/>
      <c r="E16" s="48"/>
      <c r="F16" s="48"/>
      <c r="G16" s="49"/>
      <c r="H16" s="49"/>
      <c r="I16" s="49"/>
      <c r="J16" s="50"/>
      <c r="K16" s="50"/>
      <c r="L16" s="50"/>
      <c r="M16" s="50"/>
      <c r="N16" s="50"/>
      <c r="O16" s="50"/>
      <c r="P16" s="50"/>
      <c r="Q16" s="50"/>
      <c r="R16" s="50"/>
      <c r="S16" s="50"/>
      <c r="T16" s="50"/>
      <c r="U16" s="50"/>
      <c r="V16" s="50"/>
      <c r="W16" s="23"/>
    </row>
    <row r="17" spans="1:47" x14ac:dyDescent="0.25">
      <c r="A17" s="29" t="s">
        <v>100</v>
      </c>
      <c r="B17" s="51">
        <v>2400</v>
      </c>
      <c r="C17" s="52" t="s">
        <v>98</v>
      </c>
      <c r="D17" s="53">
        <v>1</v>
      </c>
      <c r="E17" s="33">
        <f>SUM(G17:U17)</f>
        <v>2400</v>
      </c>
      <c r="F17" s="33"/>
      <c r="G17" s="34">
        <f>B17*D17</f>
        <v>2400</v>
      </c>
      <c r="H17" s="34">
        <v>0</v>
      </c>
      <c r="I17" s="34"/>
      <c r="J17" s="34"/>
      <c r="K17" s="34"/>
      <c r="L17" s="34"/>
      <c r="M17" s="34"/>
      <c r="N17" s="34"/>
      <c r="O17" s="34"/>
      <c r="P17" s="34"/>
      <c r="Q17" s="34"/>
      <c r="R17" s="34"/>
      <c r="S17" s="34"/>
      <c r="T17" s="34"/>
      <c r="U17" s="34"/>
      <c r="V17" s="34">
        <f t="shared" ref="V17:V20" si="2">SUM(G17:U17)-E17</f>
        <v>0</v>
      </c>
      <c r="W17" s="36"/>
    </row>
    <row r="18" spans="1:47" x14ac:dyDescent="0.25">
      <c r="A18" s="37" t="s">
        <v>29</v>
      </c>
      <c r="B18" s="51"/>
      <c r="C18" s="52"/>
      <c r="D18" s="53"/>
      <c r="E18" s="33">
        <f>SUM(G18:U18)</f>
        <v>0</v>
      </c>
      <c r="F18" s="33"/>
      <c r="G18" s="34"/>
      <c r="H18" s="34"/>
      <c r="I18" s="34"/>
      <c r="J18" s="34"/>
      <c r="K18" s="34"/>
      <c r="L18" s="34"/>
      <c r="M18" s="34"/>
      <c r="N18" s="34"/>
      <c r="O18" s="34"/>
      <c r="P18" s="34"/>
      <c r="Q18" s="34"/>
      <c r="R18" s="34"/>
      <c r="S18" s="34"/>
      <c r="T18" s="34"/>
      <c r="U18" s="34"/>
      <c r="V18" s="34">
        <f t="shared" si="2"/>
        <v>0</v>
      </c>
      <c r="W18" s="36"/>
    </row>
    <row r="19" spans="1:47" x14ac:dyDescent="0.25">
      <c r="A19" s="38"/>
      <c r="B19" s="51"/>
      <c r="C19" s="52"/>
      <c r="D19" s="53"/>
      <c r="E19" s="54"/>
      <c r="F19" s="54"/>
      <c r="G19" s="34"/>
      <c r="H19" s="34"/>
      <c r="I19" s="34"/>
      <c r="J19" s="35"/>
      <c r="K19" s="35"/>
      <c r="L19" s="35"/>
      <c r="M19" s="35"/>
      <c r="N19" s="35"/>
      <c r="O19" s="35"/>
      <c r="P19" s="35"/>
      <c r="Q19" s="35"/>
      <c r="R19" s="35"/>
      <c r="S19" s="35"/>
      <c r="T19" s="35"/>
      <c r="U19" s="35"/>
      <c r="V19" s="35">
        <f t="shared" si="2"/>
        <v>0</v>
      </c>
      <c r="W19" s="36"/>
    </row>
    <row r="20" spans="1:47" s="15" customFormat="1" x14ac:dyDescent="0.25">
      <c r="A20" s="40" t="s">
        <v>30</v>
      </c>
      <c r="B20" s="80"/>
      <c r="C20" s="81"/>
      <c r="D20" s="82"/>
      <c r="E20" s="83">
        <f>SUM(E17:E19)</f>
        <v>2400</v>
      </c>
      <c r="F20" s="83"/>
      <c r="G20" s="83">
        <f t="shared" ref="G20:U20" si="3">SUM(G17:G19)</f>
        <v>2400</v>
      </c>
      <c r="H20" s="83">
        <f t="shared" si="3"/>
        <v>0</v>
      </c>
      <c r="I20" s="83">
        <f t="shared" si="3"/>
        <v>0</v>
      </c>
      <c r="J20" s="83">
        <f t="shared" si="3"/>
        <v>0</v>
      </c>
      <c r="K20" s="83">
        <f t="shared" si="3"/>
        <v>0</v>
      </c>
      <c r="L20" s="83">
        <f t="shared" si="3"/>
        <v>0</v>
      </c>
      <c r="M20" s="83">
        <f t="shared" si="3"/>
        <v>0</v>
      </c>
      <c r="N20" s="83">
        <f t="shared" si="3"/>
        <v>0</v>
      </c>
      <c r="O20" s="83">
        <f t="shared" si="3"/>
        <v>0</v>
      </c>
      <c r="P20" s="83">
        <f t="shared" si="3"/>
        <v>0</v>
      </c>
      <c r="Q20" s="83">
        <f t="shared" si="3"/>
        <v>0</v>
      </c>
      <c r="R20" s="83">
        <f t="shared" si="3"/>
        <v>0</v>
      </c>
      <c r="S20" s="83">
        <f t="shared" si="3"/>
        <v>0</v>
      </c>
      <c r="T20" s="83">
        <f t="shared" si="3"/>
        <v>0</v>
      </c>
      <c r="U20" s="83">
        <f t="shared" si="3"/>
        <v>0</v>
      </c>
      <c r="V20" s="83">
        <f t="shared" si="2"/>
        <v>0</v>
      </c>
      <c r="W20" s="45"/>
      <c r="X20" s="3"/>
    </row>
    <row r="21" spans="1:47" s="15" customFormat="1" x14ac:dyDescent="0.25">
      <c r="A21" s="19"/>
      <c r="B21" s="88"/>
      <c r="C21" s="89"/>
      <c r="D21" s="90"/>
      <c r="E21" s="91"/>
      <c r="F21" s="91"/>
      <c r="G21" s="91"/>
      <c r="H21" s="91"/>
      <c r="I21" s="91"/>
      <c r="J21" s="91"/>
      <c r="K21" s="91"/>
      <c r="L21" s="91"/>
      <c r="M21" s="91"/>
      <c r="N21" s="91"/>
      <c r="O21" s="91"/>
      <c r="P21" s="91"/>
      <c r="Q21" s="91"/>
      <c r="R21" s="91"/>
      <c r="S21" s="91"/>
      <c r="T21" s="91"/>
      <c r="U21" s="91"/>
      <c r="V21" s="91"/>
      <c r="W21" s="72"/>
      <c r="X21" s="3"/>
    </row>
    <row r="22" spans="1:47" x14ac:dyDescent="0.25">
      <c r="A22" s="21" t="s">
        <v>32</v>
      </c>
      <c r="B22" s="46"/>
      <c r="C22" s="47"/>
      <c r="D22" s="47"/>
      <c r="E22" s="48"/>
      <c r="F22" s="48"/>
      <c r="G22" s="49"/>
      <c r="H22" s="49"/>
      <c r="I22" s="49"/>
      <c r="J22" s="50"/>
      <c r="K22" s="50"/>
      <c r="L22" s="50"/>
      <c r="M22" s="50"/>
      <c r="N22" s="50"/>
      <c r="O22" s="50"/>
      <c r="P22" s="50"/>
      <c r="Q22" s="50"/>
      <c r="R22" s="50"/>
      <c r="S22" s="50"/>
      <c r="T22" s="50"/>
      <c r="U22" s="50"/>
      <c r="V22" s="50"/>
      <c r="W22" s="23"/>
    </row>
    <row r="23" spans="1:47" x14ac:dyDescent="0.25">
      <c r="A23" s="29" t="s">
        <v>28</v>
      </c>
      <c r="B23" s="55"/>
      <c r="C23" s="56"/>
      <c r="D23" s="53"/>
      <c r="E23" s="33">
        <f>SUM(G23:U23)</f>
        <v>0</v>
      </c>
      <c r="F23" s="33"/>
      <c r="G23" s="34">
        <f>B23*D23</f>
        <v>0</v>
      </c>
      <c r="H23" s="34">
        <f>C23*G23</f>
        <v>0</v>
      </c>
      <c r="I23" s="34"/>
      <c r="J23" s="35"/>
      <c r="K23" s="35"/>
      <c r="L23" s="35"/>
      <c r="M23" s="35"/>
      <c r="N23" s="35"/>
      <c r="O23" s="35"/>
      <c r="P23" s="35"/>
      <c r="Q23" s="35"/>
      <c r="R23" s="35"/>
      <c r="S23" s="35"/>
      <c r="T23" s="35"/>
      <c r="U23" s="35"/>
      <c r="V23" s="35">
        <f t="shared" ref="V23:V26" si="4">SUM(G23:U23)-E23</f>
        <v>0</v>
      </c>
      <c r="W23" s="36"/>
    </row>
    <row r="24" spans="1:47" x14ac:dyDescent="0.25">
      <c r="A24" s="37" t="s">
        <v>29</v>
      </c>
      <c r="B24" s="55"/>
      <c r="C24" s="56"/>
      <c r="D24" s="53"/>
      <c r="E24" s="33">
        <f>SUM(G24:U24)</f>
        <v>0</v>
      </c>
      <c r="F24" s="33"/>
      <c r="G24" s="34"/>
      <c r="H24" s="34"/>
      <c r="I24" s="34"/>
      <c r="J24" s="35"/>
      <c r="K24" s="35"/>
      <c r="L24" s="35"/>
      <c r="M24" s="35"/>
      <c r="N24" s="35"/>
      <c r="O24" s="35"/>
      <c r="P24" s="35"/>
      <c r="Q24" s="35"/>
      <c r="R24" s="35"/>
      <c r="S24" s="35"/>
      <c r="T24" s="35"/>
      <c r="U24" s="35"/>
      <c r="V24" s="35">
        <f t="shared" si="4"/>
        <v>0</v>
      </c>
      <c r="W24" s="36"/>
    </row>
    <row r="25" spans="1:47" x14ac:dyDescent="0.25">
      <c r="A25" s="38"/>
      <c r="B25" s="51"/>
      <c r="C25" s="52"/>
      <c r="D25" s="53"/>
      <c r="E25" s="54"/>
      <c r="F25" s="54"/>
      <c r="G25" s="34">
        <f>B25*D25</f>
        <v>0</v>
      </c>
      <c r="H25" s="34">
        <f>C25*G25</f>
        <v>0</v>
      </c>
      <c r="I25" s="34"/>
      <c r="J25" s="35"/>
      <c r="K25" s="35"/>
      <c r="L25" s="35"/>
      <c r="M25" s="35"/>
      <c r="N25" s="35"/>
      <c r="O25" s="35"/>
      <c r="P25" s="35"/>
      <c r="Q25" s="35"/>
      <c r="R25" s="35"/>
      <c r="S25" s="35"/>
      <c r="T25" s="35"/>
      <c r="U25" s="35"/>
      <c r="V25" s="35">
        <f t="shared" si="4"/>
        <v>0</v>
      </c>
      <c r="W25" s="36"/>
    </row>
    <row r="26" spans="1:47" s="15" customFormat="1" x14ac:dyDescent="0.25">
      <c r="A26" s="40" t="s">
        <v>30</v>
      </c>
      <c r="B26" s="80"/>
      <c r="C26" s="81"/>
      <c r="D26" s="82"/>
      <c r="E26" s="83">
        <f>SUM(E23:E25)</f>
        <v>0</v>
      </c>
      <c r="F26" s="83"/>
      <c r="G26" s="83">
        <f t="shared" ref="G26:U26" si="5">SUM(G23:G25)</f>
        <v>0</v>
      </c>
      <c r="H26" s="83">
        <f t="shared" si="5"/>
        <v>0</v>
      </c>
      <c r="I26" s="83">
        <f t="shared" si="5"/>
        <v>0</v>
      </c>
      <c r="J26" s="83">
        <f t="shared" si="5"/>
        <v>0</v>
      </c>
      <c r="K26" s="83">
        <f t="shared" si="5"/>
        <v>0</v>
      </c>
      <c r="L26" s="83">
        <f t="shared" si="5"/>
        <v>0</v>
      </c>
      <c r="M26" s="83">
        <f t="shared" si="5"/>
        <v>0</v>
      </c>
      <c r="N26" s="83">
        <f t="shared" si="5"/>
        <v>0</v>
      </c>
      <c r="O26" s="83">
        <f t="shared" si="5"/>
        <v>0</v>
      </c>
      <c r="P26" s="83">
        <f t="shared" si="5"/>
        <v>0</v>
      </c>
      <c r="Q26" s="83">
        <f t="shared" si="5"/>
        <v>0</v>
      </c>
      <c r="R26" s="83">
        <f t="shared" si="5"/>
        <v>0</v>
      </c>
      <c r="S26" s="83">
        <f t="shared" si="5"/>
        <v>0</v>
      </c>
      <c r="T26" s="83">
        <f t="shared" si="5"/>
        <v>0</v>
      </c>
      <c r="U26" s="83">
        <f t="shared" si="5"/>
        <v>0</v>
      </c>
      <c r="V26" s="83">
        <f t="shared" si="4"/>
        <v>0</v>
      </c>
      <c r="W26" s="45"/>
      <c r="X26" s="3"/>
    </row>
    <row r="27" spans="1:47" x14ac:dyDescent="0.25">
      <c r="A27" s="29"/>
      <c r="B27" s="30"/>
      <c r="C27" s="31"/>
      <c r="D27" s="32"/>
      <c r="E27" s="33"/>
      <c r="F27" s="33"/>
      <c r="G27" s="34"/>
      <c r="H27" s="34"/>
      <c r="I27" s="34"/>
      <c r="J27" s="35"/>
      <c r="K27" s="35"/>
      <c r="L27" s="35"/>
      <c r="M27" s="35"/>
      <c r="N27" s="35"/>
      <c r="O27" s="35"/>
      <c r="P27" s="35"/>
      <c r="Q27" s="35"/>
      <c r="R27" s="35"/>
      <c r="S27" s="35"/>
      <c r="T27" s="35"/>
      <c r="U27" s="35"/>
      <c r="V27" s="35"/>
      <c r="W27" s="36"/>
    </row>
    <row r="28" spans="1:47" x14ac:dyDescent="0.25">
      <c r="A28" s="21" t="s">
        <v>33</v>
      </c>
      <c r="B28" s="46"/>
      <c r="C28" s="47"/>
      <c r="D28" s="47"/>
      <c r="E28" s="48"/>
      <c r="F28" s="48"/>
      <c r="G28" s="49"/>
      <c r="H28" s="49"/>
      <c r="I28" s="127"/>
      <c r="J28" s="128"/>
      <c r="K28" s="50"/>
      <c r="L28" s="50"/>
      <c r="M28" s="50"/>
      <c r="N28" s="50"/>
      <c r="O28" s="50"/>
      <c r="P28" s="50"/>
      <c r="Q28" s="50"/>
      <c r="R28" s="50"/>
      <c r="S28" s="50"/>
      <c r="T28" s="50"/>
      <c r="U28" s="50"/>
      <c r="V28" s="50"/>
      <c r="W28" s="23"/>
    </row>
    <row r="29" spans="1:47" x14ac:dyDescent="0.25">
      <c r="A29" t="s">
        <v>56</v>
      </c>
      <c r="B29" s="118">
        <v>680</v>
      </c>
      <c r="C29" s="56" t="s">
        <v>47</v>
      </c>
      <c r="D29" s="120">
        <v>5</v>
      </c>
      <c r="E29" s="33">
        <f>B29*D29</f>
        <v>3400</v>
      </c>
      <c r="F29" s="33"/>
      <c r="G29" s="34">
        <f t="shared" ref="G29:G36" si="6">E29</f>
        <v>3400</v>
      </c>
      <c r="H29" s="133"/>
      <c r="I29" s="130"/>
      <c r="J29" s="130"/>
      <c r="L29" s="35"/>
      <c r="M29" s="35"/>
      <c r="N29" s="35"/>
      <c r="O29" s="35"/>
      <c r="P29" s="35"/>
      <c r="Q29" s="35"/>
      <c r="R29" s="35"/>
      <c r="S29" s="35"/>
      <c r="T29" s="35"/>
      <c r="U29" s="35"/>
      <c r="V29" s="35"/>
      <c r="W29" s="36"/>
      <c r="X29" s="3"/>
      <c r="Y29" s="15"/>
      <c r="Z29" s="15"/>
      <c r="AA29" s="15"/>
      <c r="AB29" s="15"/>
      <c r="AC29" s="15"/>
      <c r="AD29" s="15"/>
      <c r="AE29" s="15"/>
      <c r="AF29" s="15"/>
      <c r="AG29" s="15"/>
      <c r="AH29" s="15"/>
      <c r="AI29" s="15"/>
      <c r="AJ29" s="15"/>
      <c r="AK29" s="15"/>
      <c r="AL29" s="15"/>
      <c r="AM29" s="15"/>
      <c r="AN29" s="15"/>
      <c r="AO29" s="15"/>
      <c r="AP29" s="15"/>
      <c r="AQ29" s="15"/>
      <c r="AR29" s="15"/>
      <c r="AS29" s="15"/>
      <c r="AT29" s="15"/>
      <c r="AU29" s="15"/>
    </row>
    <row r="30" spans="1:47" s="8" customFormat="1" x14ac:dyDescent="0.25">
      <c r="A30" t="s">
        <v>57</v>
      </c>
      <c r="B30" s="119">
        <v>19</v>
      </c>
      <c r="C30" s="121" t="s">
        <v>82</v>
      </c>
      <c r="D30" s="120">
        <v>12</v>
      </c>
      <c r="E30" s="33">
        <f t="shared" ref="E30:E55" si="7">B30*D30</f>
        <v>228</v>
      </c>
      <c r="F30" s="33"/>
      <c r="G30" s="126">
        <f t="shared" si="6"/>
        <v>228</v>
      </c>
      <c r="H30" s="134"/>
      <c r="I30" s="131"/>
      <c r="J30" s="129"/>
      <c r="K30" s="57"/>
      <c r="L30" s="57"/>
      <c r="M30" s="57"/>
      <c r="N30" s="57"/>
      <c r="O30" s="57"/>
      <c r="P30" s="57"/>
      <c r="Q30" s="57"/>
      <c r="R30" s="57"/>
      <c r="S30" s="57"/>
      <c r="T30" s="57"/>
      <c r="U30" s="57"/>
      <c r="V30" s="57"/>
      <c r="W30" s="58"/>
      <c r="X30" s="1"/>
      <c r="Y30" s="1"/>
      <c r="Z30" s="1"/>
      <c r="AA30" s="1"/>
      <c r="AB30" s="1"/>
      <c r="AC30" s="1"/>
      <c r="AD30" s="1"/>
      <c r="AE30" s="1"/>
      <c r="AF30" s="1"/>
      <c r="AG30" s="1"/>
      <c r="AH30" s="1"/>
      <c r="AI30" s="1"/>
      <c r="AJ30" s="1"/>
      <c r="AK30" s="1"/>
      <c r="AL30" s="1"/>
      <c r="AM30" s="1"/>
      <c r="AN30" s="1"/>
      <c r="AO30" s="1"/>
      <c r="AP30" s="1"/>
      <c r="AQ30" s="1"/>
      <c r="AR30" s="1"/>
      <c r="AS30" s="1"/>
      <c r="AT30" s="1"/>
      <c r="AU30" s="1"/>
    </row>
    <row r="31" spans="1:47" s="8" customFormat="1" x14ac:dyDescent="0.25">
      <c r="A31" t="s">
        <v>58</v>
      </c>
      <c r="B31" s="119">
        <v>184</v>
      </c>
      <c r="C31" s="121" t="s">
        <v>48</v>
      </c>
      <c r="D31" s="120">
        <v>1</v>
      </c>
      <c r="E31" s="33">
        <f t="shared" si="7"/>
        <v>184</v>
      </c>
      <c r="F31" s="33"/>
      <c r="G31" s="126">
        <f t="shared" si="6"/>
        <v>184</v>
      </c>
      <c r="H31" s="134"/>
      <c r="I31" s="132"/>
      <c r="J31" s="57"/>
      <c r="K31" s="57"/>
      <c r="L31" s="57"/>
      <c r="M31" s="57"/>
      <c r="N31" s="57"/>
      <c r="O31" s="57"/>
      <c r="P31" s="57"/>
      <c r="Q31" s="57"/>
      <c r="R31" s="57"/>
      <c r="S31" s="57"/>
      <c r="T31" s="57"/>
      <c r="U31" s="57"/>
      <c r="V31" s="57"/>
      <c r="W31" s="58"/>
      <c r="X31" s="1"/>
      <c r="Y31" s="1"/>
      <c r="Z31" s="1"/>
      <c r="AA31" s="1"/>
      <c r="AB31" s="1"/>
      <c r="AC31" s="1"/>
      <c r="AD31" s="1"/>
      <c r="AE31" s="1"/>
      <c r="AF31" s="1"/>
      <c r="AG31" s="1"/>
      <c r="AH31" s="1"/>
      <c r="AI31" s="1"/>
      <c r="AJ31" s="1"/>
      <c r="AK31" s="1"/>
      <c r="AL31" s="1"/>
      <c r="AM31" s="1"/>
      <c r="AN31" s="1"/>
      <c r="AO31" s="1"/>
      <c r="AP31" s="1"/>
      <c r="AQ31" s="1"/>
      <c r="AR31" s="1"/>
      <c r="AS31" s="1"/>
      <c r="AT31" s="1"/>
      <c r="AU31" s="1"/>
    </row>
    <row r="32" spans="1:47" s="8" customFormat="1" x14ac:dyDescent="0.25">
      <c r="A32" t="s">
        <v>59</v>
      </c>
      <c r="B32" s="119">
        <v>125</v>
      </c>
      <c r="C32" s="121" t="s">
        <v>50</v>
      </c>
      <c r="D32" s="120">
        <v>1</v>
      </c>
      <c r="E32" s="33">
        <f t="shared" si="7"/>
        <v>125</v>
      </c>
      <c r="F32" s="33"/>
      <c r="G32" s="126">
        <f t="shared" si="6"/>
        <v>125</v>
      </c>
      <c r="H32" s="134"/>
      <c r="I32" s="132"/>
      <c r="J32" s="57"/>
      <c r="K32" s="57"/>
      <c r="L32" s="57"/>
      <c r="M32" s="57"/>
      <c r="N32" s="57"/>
      <c r="O32" s="57"/>
      <c r="P32" s="57"/>
      <c r="Q32" s="57"/>
      <c r="R32" s="57"/>
      <c r="S32" s="57"/>
      <c r="T32" s="57"/>
      <c r="U32" s="57"/>
      <c r="V32" s="57"/>
      <c r="W32" s="58"/>
      <c r="X32" s="1"/>
      <c r="Y32" s="1"/>
      <c r="Z32" s="1"/>
      <c r="AA32" s="1"/>
      <c r="AB32" s="1"/>
      <c r="AC32" s="1"/>
      <c r="AD32" s="1"/>
      <c r="AE32" s="1"/>
      <c r="AF32" s="1"/>
      <c r="AG32" s="1"/>
      <c r="AH32" s="1"/>
      <c r="AI32" s="1"/>
      <c r="AJ32" s="1"/>
      <c r="AK32" s="1"/>
      <c r="AL32" s="1"/>
      <c r="AM32" s="1"/>
      <c r="AN32" s="1"/>
      <c r="AO32" s="1"/>
      <c r="AP32" s="1"/>
      <c r="AQ32" s="1"/>
      <c r="AR32" s="1"/>
      <c r="AS32" s="1"/>
      <c r="AT32" s="1"/>
      <c r="AU32" s="1"/>
    </row>
    <row r="33" spans="1:47" s="8" customFormat="1" x14ac:dyDescent="0.25">
      <c r="A33" t="s">
        <v>83</v>
      </c>
      <c r="B33" s="119">
        <v>113</v>
      </c>
      <c r="C33" s="121" t="s">
        <v>48</v>
      </c>
      <c r="D33" s="120">
        <v>6</v>
      </c>
      <c r="E33" s="33">
        <f t="shared" si="7"/>
        <v>678</v>
      </c>
      <c r="F33" s="33"/>
      <c r="G33" s="126">
        <f t="shared" si="6"/>
        <v>678</v>
      </c>
      <c r="H33" s="134"/>
      <c r="I33" s="132"/>
      <c r="J33" s="57"/>
      <c r="K33" s="57"/>
      <c r="L33" s="57"/>
      <c r="M33" s="57"/>
      <c r="N33" s="57"/>
      <c r="O33" s="57"/>
      <c r="P33" s="57"/>
      <c r="Q33" s="57"/>
      <c r="R33" s="57"/>
      <c r="S33" s="57"/>
      <c r="T33" s="57"/>
      <c r="U33" s="57"/>
      <c r="V33" s="57"/>
      <c r="W33" s="58"/>
      <c r="X33" s="1"/>
      <c r="Y33" s="1"/>
      <c r="Z33" s="1"/>
      <c r="AA33" s="1"/>
      <c r="AB33" s="1"/>
      <c r="AC33" s="1"/>
      <c r="AD33" s="1"/>
      <c r="AE33" s="1"/>
      <c r="AF33" s="1"/>
      <c r="AG33" s="1"/>
      <c r="AH33" s="1"/>
      <c r="AI33" s="1"/>
      <c r="AJ33" s="1"/>
      <c r="AK33" s="1"/>
      <c r="AL33" s="1"/>
      <c r="AM33" s="1"/>
      <c r="AN33" s="1"/>
      <c r="AO33" s="1"/>
      <c r="AP33" s="1"/>
      <c r="AQ33" s="1"/>
      <c r="AR33" s="1"/>
      <c r="AS33" s="1"/>
      <c r="AT33" s="1"/>
      <c r="AU33" s="1"/>
    </row>
    <row r="34" spans="1:47" s="4" customFormat="1" x14ac:dyDescent="0.25">
      <c r="A34" t="s">
        <v>60</v>
      </c>
      <c r="B34" s="60">
        <v>363</v>
      </c>
      <c r="C34" s="60" t="s">
        <v>48</v>
      </c>
      <c r="D34" s="120">
        <v>1</v>
      </c>
      <c r="E34" s="33">
        <f t="shared" si="7"/>
        <v>363</v>
      </c>
      <c r="F34" s="61"/>
      <c r="G34" s="126">
        <f t="shared" si="6"/>
        <v>363</v>
      </c>
      <c r="H34" s="125"/>
      <c r="I34" s="123"/>
      <c r="J34" s="35"/>
      <c r="K34" s="35"/>
      <c r="L34" s="35"/>
      <c r="M34" s="35"/>
      <c r="N34" s="35"/>
      <c r="O34" s="35"/>
      <c r="P34" s="35"/>
      <c r="Q34" s="35"/>
      <c r="R34" s="35"/>
      <c r="S34" s="35"/>
      <c r="T34" s="35"/>
      <c r="U34" s="35"/>
      <c r="V34" s="35"/>
      <c r="W34" s="36"/>
      <c r="X34" s="3"/>
      <c r="Y34" s="15"/>
      <c r="Z34" s="15"/>
      <c r="AA34" s="15"/>
      <c r="AB34" s="15"/>
      <c r="AC34" s="15"/>
      <c r="AD34" s="15"/>
      <c r="AE34" s="15"/>
      <c r="AF34" s="15"/>
      <c r="AG34" s="15"/>
      <c r="AH34" s="15"/>
      <c r="AI34" s="15"/>
      <c r="AJ34" s="15"/>
      <c r="AK34" s="15"/>
      <c r="AL34" s="15"/>
      <c r="AM34" s="15"/>
      <c r="AN34" s="15"/>
      <c r="AO34" s="15"/>
      <c r="AP34" s="15"/>
      <c r="AQ34" s="15"/>
      <c r="AR34" s="15"/>
      <c r="AS34" s="15"/>
      <c r="AT34" s="15"/>
      <c r="AU34" s="15"/>
    </row>
    <row r="35" spans="1:47" s="4" customFormat="1" x14ac:dyDescent="0.25">
      <c r="A35" t="s">
        <v>61</v>
      </c>
      <c r="B35" s="60">
        <v>434</v>
      </c>
      <c r="C35" s="60" t="s">
        <v>52</v>
      </c>
      <c r="D35" s="120">
        <v>1</v>
      </c>
      <c r="E35" s="33">
        <f t="shared" si="7"/>
        <v>434</v>
      </c>
      <c r="F35" s="61"/>
      <c r="G35" s="126">
        <f t="shared" si="6"/>
        <v>434</v>
      </c>
      <c r="H35" s="125"/>
      <c r="I35" s="123"/>
      <c r="J35" s="35"/>
      <c r="K35" s="35"/>
      <c r="L35" s="35"/>
      <c r="M35" s="35"/>
      <c r="N35" s="35"/>
      <c r="O35" s="35"/>
      <c r="P35" s="35"/>
      <c r="Q35" s="35"/>
      <c r="R35" s="35"/>
      <c r="S35" s="35"/>
      <c r="T35" s="35"/>
      <c r="U35" s="35"/>
      <c r="V35" s="35"/>
      <c r="W35" s="36"/>
      <c r="X35" s="3"/>
      <c r="Y35" s="15"/>
      <c r="Z35" s="15"/>
      <c r="AA35" s="15"/>
      <c r="AB35" s="15"/>
      <c r="AC35" s="15"/>
      <c r="AD35" s="15"/>
      <c r="AE35" s="15"/>
      <c r="AF35" s="15"/>
      <c r="AG35" s="15"/>
      <c r="AH35" s="15"/>
      <c r="AI35" s="15"/>
      <c r="AJ35" s="15"/>
      <c r="AK35" s="15"/>
      <c r="AL35" s="15"/>
      <c r="AM35" s="15"/>
      <c r="AN35" s="15"/>
      <c r="AO35" s="15"/>
      <c r="AP35" s="15"/>
      <c r="AQ35" s="15"/>
      <c r="AR35" s="15"/>
      <c r="AS35" s="15"/>
      <c r="AT35" s="15"/>
      <c r="AU35" s="15"/>
    </row>
    <row r="36" spans="1:47" s="4" customFormat="1" x14ac:dyDescent="0.25">
      <c r="A36" t="s">
        <v>62</v>
      </c>
      <c r="B36" s="60">
        <v>559</v>
      </c>
      <c r="C36" s="60" t="s">
        <v>52</v>
      </c>
      <c r="D36" s="120">
        <v>1</v>
      </c>
      <c r="E36" s="33">
        <f t="shared" si="7"/>
        <v>559</v>
      </c>
      <c r="F36" s="61"/>
      <c r="G36" s="126">
        <f t="shared" si="6"/>
        <v>559</v>
      </c>
      <c r="H36" s="125"/>
      <c r="I36" s="123"/>
      <c r="J36" s="35"/>
      <c r="K36" s="35"/>
      <c r="L36" s="35"/>
      <c r="M36" s="35"/>
      <c r="N36" s="35"/>
      <c r="O36" s="35"/>
      <c r="P36" s="35"/>
      <c r="Q36" s="35"/>
      <c r="R36" s="35"/>
      <c r="S36" s="35"/>
      <c r="T36" s="35"/>
      <c r="U36" s="35"/>
      <c r="V36" s="35"/>
      <c r="W36" s="36"/>
      <c r="X36" s="3"/>
      <c r="Y36" s="15"/>
      <c r="Z36" s="15"/>
      <c r="AA36" s="15"/>
      <c r="AB36" s="15"/>
      <c r="AC36" s="15"/>
      <c r="AD36" s="15"/>
      <c r="AE36" s="15"/>
      <c r="AF36" s="15"/>
      <c r="AG36" s="15"/>
      <c r="AH36" s="15"/>
      <c r="AI36" s="15"/>
      <c r="AJ36" s="15"/>
      <c r="AK36" s="15"/>
      <c r="AL36" s="15"/>
      <c r="AM36" s="15"/>
      <c r="AN36" s="15"/>
      <c r="AO36" s="15"/>
      <c r="AP36" s="15"/>
      <c r="AQ36" s="15"/>
      <c r="AR36" s="15"/>
      <c r="AS36" s="15"/>
      <c r="AT36" s="15"/>
      <c r="AU36" s="15"/>
    </row>
    <row r="37" spans="1:47" s="4" customFormat="1" x14ac:dyDescent="0.25">
      <c r="A37" t="s">
        <v>63</v>
      </c>
      <c r="B37" s="60">
        <v>32</v>
      </c>
      <c r="C37" s="60" t="s">
        <v>84</v>
      </c>
      <c r="D37" s="120">
        <v>7</v>
      </c>
      <c r="E37" s="33">
        <f t="shared" si="7"/>
        <v>224</v>
      </c>
      <c r="F37" s="61"/>
      <c r="G37" s="126"/>
      <c r="H37" s="125"/>
      <c r="I37" s="123">
        <f>E37</f>
        <v>224</v>
      </c>
      <c r="J37" s="35"/>
      <c r="K37" s="35"/>
      <c r="L37" s="35"/>
      <c r="M37" s="35"/>
      <c r="N37" s="35"/>
      <c r="O37" s="35"/>
      <c r="P37" s="35"/>
      <c r="Q37" s="35"/>
      <c r="R37" s="35"/>
      <c r="S37" s="35"/>
      <c r="T37" s="35"/>
      <c r="U37" s="35"/>
      <c r="V37" s="35"/>
      <c r="W37" s="36"/>
      <c r="X37" s="3"/>
      <c r="Y37" s="15"/>
      <c r="Z37" s="15"/>
      <c r="AA37" s="15"/>
      <c r="AB37" s="15"/>
      <c r="AC37" s="15"/>
      <c r="AD37" s="15"/>
      <c r="AE37" s="15"/>
      <c r="AF37" s="15"/>
      <c r="AG37" s="15"/>
      <c r="AH37" s="15"/>
      <c r="AI37" s="15"/>
      <c r="AJ37" s="15"/>
      <c r="AK37" s="15"/>
      <c r="AL37" s="15"/>
      <c r="AM37" s="15"/>
      <c r="AN37" s="15"/>
      <c r="AO37" s="15"/>
      <c r="AP37" s="15"/>
      <c r="AQ37" s="15"/>
      <c r="AR37" s="15"/>
      <c r="AS37" s="15"/>
      <c r="AT37" s="15"/>
      <c r="AU37" s="15"/>
    </row>
    <row r="38" spans="1:47" s="4" customFormat="1" x14ac:dyDescent="0.25">
      <c r="A38" t="s">
        <v>64</v>
      </c>
      <c r="B38" s="60">
        <v>255</v>
      </c>
      <c r="C38" s="60" t="s">
        <v>50</v>
      </c>
      <c r="D38" s="120">
        <v>1</v>
      </c>
      <c r="E38" s="33">
        <f t="shared" si="7"/>
        <v>255</v>
      </c>
      <c r="F38" s="61"/>
      <c r="G38" s="126">
        <f>E38</f>
        <v>255</v>
      </c>
      <c r="H38" s="125"/>
      <c r="I38" s="123"/>
      <c r="J38" s="35"/>
      <c r="K38" s="35"/>
      <c r="L38" s="35"/>
      <c r="M38" s="35"/>
      <c r="N38" s="35"/>
      <c r="O38" s="35"/>
      <c r="P38" s="35"/>
      <c r="Q38" s="35"/>
      <c r="R38" s="35"/>
      <c r="S38" s="35"/>
      <c r="T38" s="35"/>
      <c r="U38" s="35"/>
      <c r="V38" s="35"/>
      <c r="W38" s="36"/>
      <c r="X38" s="3"/>
      <c r="Y38" s="15"/>
      <c r="Z38" s="15"/>
      <c r="AA38" s="15"/>
      <c r="AB38" s="15"/>
      <c r="AC38" s="15"/>
      <c r="AD38" s="15"/>
      <c r="AE38" s="15"/>
      <c r="AF38" s="15"/>
      <c r="AG38" s="15"/>
      <c r="AH38" s="15"/>
      <c r="AI38" s="15"/>
      <c r="AJ38" s="15"/>
      <c r="AK38" s="15"/>
      <c r="AL38" s="15"/>
      <c r="AM38" s="15"/>
      <c r="AN38" s="15"/>
      <c r="AO38" s="15"/>
      <c r="AP38" s="15"/>
      <c r="AQ38" s="15"/>
      <c r="AR38" s="15"/>
      <c r="AS38" s="15"/>
      <c r="AT38" s="15"/>
      <c r="AU38" s="15"/>
    </row>
    <row r="39" spans="1:47" s="4" customFormat="1" x14ac:dyDescent="0.25">
      <c r="A39" t="s">
        <v>65</v>
      </c>
      <c r="B39" s="60">
        <v>113</v>
      </c>
      <c r="C39" s="60" t="s">
        <v>50</v>
      </c>
      <c r="D39" s="120">
        <v>2</v>
      </c>
      <c r="E39" s="33">
        <f>B39*D39</f>
        <v>226</v>
      </c>
      <c r="F39" s="61"/>
      <c r="G39" s="126">
        <v>226</v>
      </c>
      <c r="H39" s="125"/>
      <c r="I39" s="123"/>
      <c r="J39" s="35"/>
      <c r="K39" s="35"/>
      <c r="L39" s="35"/>
      <c r="M39" s="35"/>
      <c r="N39" s="35"/>
      <c r="O39" s="35"/>
      <c r="P39" s="35"/>
      <c r="Q39" s="35"/>
      <c r="R39" s="35"/>
      <c r="S39" s="35"/>
      <c r="T39" s="35"/>
      <c r="U39" s="35"/>
      <c r="V39" s="35"/>
      <c r="W39" s="36"/>
      <c r="X39" s="3"/>
      <c r="Y39" s="15"/>
      <c r="Z39" s="15"/>
      <c r="AA39" s="15"/>
      <c r="AB39" s="15"/>
      <c r="AC39" s="15"/>
      <c r="AD39" s="15"/>
      <c r="AE39" s="15"/>
      <c r="AF39" s="15"/>
      <c r="AG39" s="15"/>
      <c r="AH39" s="15"/>
      <c r="AI39" s="15"/>
      <c r="AJ39" s="15"/>
      <c r="AK39" s="15"/>
      <c r="AL39" s="15"/>
      <c r="AM39" s="15"/>
      <c r="AN39" s="15"/>
      <c r="AO39" s="15"/>
      <c r="AP39" s="15"/>
      <c r="AQ39" s="15"/>
      <c r="AR39" s="15"/>
      <c r="AS39" s="15"/>
      <c r="AT39" s="15"/>
      <c r="AU39" s="15"/>
    </row>
    <row r="40" spans="1:47" s="4" customFormat="1" x14ac:dyDescent="0.25">
      <c r="A40" t="s">
        <v>66</v>
      </c>
      <c r="B40" s="60">
        <v>121</v>
      </c>
      <c r="C40" s="60" t="s">
        <v>50</v>
      </c>
      <c r="D40" s="120">
        <v>1</v>
      </c>
      <c r="E40" s="33">
        <f t="shared" si="7"/>
        <v>121</v>
      </c>
      <c r="F40" s="61"/>
      <c r="G40" s="126">
        <f>E40</f>
        <v>121</v>
      </c>
      <c r="H40" s="125"/>
      <c r="I40" s="123"/>
      <c r="J40" s="35"/>
      <c r="K40" s="35"/>
      <c r="L40" s="35"/>
      <c r="M40" s="35"/>
      <c r="N40" s="35"/>
      <c r="O40" s="35"/>
      <c r="P40" s="35"/>
      <c r="Q40" s="35"/>
      <c r="R40" s="35"/>
      <c r="S40" s="35"/>
      <c r="T40" s="35"/>
      <c r="U40" s="35"/>
      <c r="V40" s="35"/>
      <c r="W40" s="36"/>
      <c r="X40" s="3"/>
      <c r="Y40" s="15"/>
      <c r="Z40" s="15"/>
      <c r="AA40" s="15"/>
      <c r="AB40" s="15"/>
      <c r="AC40" s="15"/>
      <c r="AD40" s="15"/>
      <c r="AE40" s="15"/>
      <c r="AF40" s="15"/>
      <c r="AG40" s="15"/>
      <c r="AH40" s="15"/>
      <c r="AI40" s="15"/>
      <c r="AJ40" s="15"/>
      <c r="AK40" s="15"/>
      <c r="AL40" s="15"/>
      <c r="AM40" s="15"/>
      <c r="AN40" s="15"/>
      <c r="AO40" s="15"/>
      <c r="AP40" s="15"/>
      <c r="AQ40" s="15"/>
      <c r="AR40" s="15"/>
      <c r="AS40" s="15"/>
      <c r="AT40" s="15"/>
      <c r="AU40" s="15"/>
    </row>
    <row r="41" spans="1:47" s="4" customFormat="1" x14ac:dyDescent="0.25">
      <c r="A41" t="s">
        <v>67</v>
      </c>
      <c r="B41" s="60">
        <v>200</v>
      </c>
      <c r="C41" s="60" t="s">
        <v>85</v>
      </c>
      <c r="D41" s="120">
        <v>2</v>
      </c>
      <c r="E41" s="33">
        <f t="shared" si="7"/>
        <v>400</v>
      </c>
      <c r="F41" s="61"/>
      <c r="G41" s="126">
        <f>E41</f>
        <v>400</v>
      </c>
      <c r="H41" s="125"/>
      <c r="I41" s="123"/>
      <c r="J41" s="35"/>
      <c r="K41" s="35"/>
      <c r="L41" s="35"/>
      <c r="M41" s="35"/>
      <c r="N41" s="35"/>
      <c r="O41" s="35"/>
      <c r="P41" s="35"/>
      <c r="Q41" s="35"/>
      <c r="R41" s="35"/>
      <c r="S41" s="35"/>
      <c r="T41" s="35"/>
      <c r="U41" s="35"/>
      <c r="V41" s="35"/>
      <c r="W41" s="36"/>
      <c r="X41" s="3"/>
      <c r="Y41" s="15"/>
      <c r="Z41" s="15"/>
      <c r="AA41" s="15"/>
      <c r="AB41" s="15"/>
      <c r="AC41" s="15"/>
      <c r="AD41" s="15"/>
      <c r="AE41" s="15"/>
      <c r="AF41" s="15"/>
      <c r="AG41" s="15"/>
      <c r="AH41" s="15"/>
      <c r="AI41" s="15"/>
      <c r="AJ41" s="15"/>
      <c r="AK41" s="15"/>
      <c r="AL41" s="15"/>
      <c r="AM41" s="15"/>
      <c r="AN41" s="15"/>
      <c r="AO41" s="15"/>
      <c r="AP41" s="15"/>
      <c r="AQ41" s="15"/>
      <c r="AR41" s="15"/>
      <c r="AS41" s="15"/>
      <c r="AT41" s="15"/>
      <c r="AU41" s="15"/>
    </row>
    <row r="42" spans="1:47" s="4" customFormat="1" x14ac:dyDescent="0.25">
      <c r="A42" t="s">
        <v>68</v>
      </c>
      <c r="B42" s="60">
        <v>150</v>
      </c>
      <c r="C42" s="60" t="s">
        <v>86</v>
      </c>
      <c r="D42" s="120">
        <v>1</v>
      </c>
      <c r="E42" s="33">
        <f t="shared" si="7"/>
        <v>150</v>
      </c>
      <c r="F42" s="61"/>
      <c r="G42" s="126">
        <f>E42</f>
        <v>150</v>
      </c>
      <c r="H42" s="125"/>
      <c r="I42" s="123"/>
      <c r="J42" s="35"/>
      <c r="K42" s="35"/>
      <c r="L42" s="35"/>
      <c r="M42" s="35"/>
      <c r="N42" s="35"/>
      <c r="O42" s="35"/>
      <c r="P42" s="35"/>
      <c r="Q42" s="35"/>
      <c r="R42" s="35"/>
      <c r="S42" s="35"/>
      <c r="T42" s="35"/>
      <c r="U42" s="35"/>
      <c r="V42" s="35"/>
      <c r="W42" s="36"/>
      <c r="X42" s="3"/>
      <c r="Y42" s="15"/>
      <c r="Z42" s="15"/>
      <c r="AA42" s="15"/>
      <c r="AB42" s="15"/>
      <c r="AC42" s="15"/>
      <c r="AD42" s="15"/>
      <c r="AE42" s="15"/>
      <c r="AF42" s="15"/>
      <c r="AG42" s="15"/>
      <c r="AH42" s="15"/>
      <c r="AI42" s="15"/>
      <c r="AJ42" s="15"/>
      <c r="AK42" s="15"/>
      <c r="AL42" s="15"/>
      <c r="AM42" s="15"/>
      <c r="AN42" s="15"/>
      <c r="AO42" s="15"/>
      <c r="AP42" s="15"/>
      <c r="AQ42" s="15"/>
      <c r="AR42" s="15"/>
      <c r="AS42" s="15"/>
      <c r="AT42" s="15"/>
      <c r="AU42" s="15"/>
    </row>
    <row r="43" spans="1:47" s="4" customFormat="1" x14ac:dyDescent="0.25">
      <c r="A43" t="s">
        <v>69</v>
      </c>
      <c r="B43" s="60">
        <v>263</v>
      </c>
      <c r="C43" s="60" t="s">
        <v>87</v>
      </c>
      <c r="D43" s="120">
        <v>1</v>
      </c>
      <c r="E43" s="33">
        <f t="shared" si="7"/>
        <v>263</v>
      </c>
      <c r="F43" s="61"/>
      <c r="G43" s="126">
        <f>E43</f>
        <v>263</v>
      </c>
      <c r="H43" s="125"/>
      <c r="I43" s="123"/>
      <c r="J43" s="35"/>
      <c r="K43" s="35"/>
      <c r="L43" s="35"/>
      <c r="M43" s="35"/>
      <c r="N43" s="35"/>
      <c r="O43" s="35"/>
      <c r="P43" s="35"/>
      <c r="Q43" s="35"/>
      <c r="R43" s="35"/>
      <c r="S43" s="35"/>
      <c r="T43" s="35"/>
      <c r="U43" s="35"/>
      <c r="V43" s="35"/>
      <c r="W43" s="36"/>
      <c r="X43" s="3"/>
      <c r="Y43" s="15"/>
      <c r="Z43" s="15"/>
      <c r="AA43" s="15"/>
      <c r="AB43" s="15"/>
      <c r="AC43" s="15"/>
      <c r="AD43" s="15"/>
      <c r="AE43" s="15"/>
      <c r="AF43" s="15"/>
      <c r="AG43" s="15"/>
      <c r="AH43" s="15"/>
      <c r="AI43" s="15"/>
      <c r="AJ43" s="15"/>
      <c r="AK43" s="15"/>
      <c r="AL43" s="15"/>
      <c r="AM43" s="15"/>
      <c r="AN43" s="15"/>
      <c r="AO43" s="15"/>
      <c r="AP43" s="15"/>
      <c r="AQ43" s="15"/>
      <c r="AR43" s="15"/>
      <c r="AS43" s="15"/>
      <c r="AT43" s="15"/>
      <c r="AU43" s="15"/>
    </row>
    <row r="44" spans="1:47" s="4" customFormat="1" x14ac:dyDescent="0.25">
      <c r="A44" t="s">
        <v>70</v>
      </c>
      <c r="B44" s="60">
        <v>588</v>
      </c>
      <c r="C44" s="60" t="s">
        <v>85</v>
      </c>
      <c r="D44" s="120">
        <v>1</v>
      </c>
      <c r="E44" s="33">
        <f t="shared" si="7"/>
        <v>588</v>
      </c>
      <c r="F44" s="61"/>
      <c r="G44" s="60">
        <f>E44/2</f>
        <v>294</v>
      </c>
      <c r="H44" s="124"/>
      <c r="I44" s="34"/>
      <c r="J44" s="35"/>
      <c r="K44" s="35">
        <f>E44/2</f>
        <v>294</v>
      </c>
      <c r="L44" s="35"/>
      <c r="M44" s="35"/>
      <c r="N44" s="35"/>
      <c r="O44" s="35"/>
      <c r="P44" s="35"/>
      <c r="Q44" s="35"/>
      <c r="R44" s="35"/>
      <c r="S44" s="35"/>
      <c r="T44" s="35"/>
      <c r="U44" s="35"/>
      <c r="V44" s="35"/>
      <c r="W44" s="36"/>
      <c r="X44" s="3"/>
      <c r="Y44" s="15"/>
      <c r="Z44" s="15"/>
      <c r="AA44" s="15"/>
      <c r="AB44" s="15"/>
      <c r="AC44" s="15"/>
      <c r="AD44" s="15"/>
      <c r="AE44" s="15"/>
      <c r="AF44" s="15"/>
      <c r="AG44" s="15"/>
      <c r="AH44" s="15"/>
      <c r="AI44" s="15"/>
      <c r="AJ44" s="15"/>
      <c r="AK44" s="15"/>
      <c r="AL44" s="15"/>
      <c r="AM44" s="15"/>
      <c r="AN44" s="15"/>
      <c r="AO44" s="15"/>
      <c r="AP44" s="15"/>
      <c r="AQ44" s="15"/>
      <c r="AR44" s="15"/>
      <c r="AS44" s="15"/>
      <c r="AT44" s="15"/>
      <c r="AU44" s="15"/>
    </row>
    <row r="45" spans="1:47" s="4" customFormat="1" x14ac:dyDescent="0.25">
      <c r="A45" t="s">
        <v>71</v>
      </c>
      <c r="B45" s="60">
        <v>438</v>
      </c>
      <c r="C45" s="60" t="s">
        <v>88</v>
      </c>
      <c r="D45" s="120">
        <v>1</v>
      </c>
      <c r="E45" s="33">
        <f t="shared" si="7"/>
        <v>438</v>
      </c>
      <c r="F45" s="61"/>
      <c r="G45" s="60"/>
      <c r="H45" s="34">
        <f>E45</f>
        <v>438</v>
      </c>
      <c r="I45" s="34"/>
      <c r="J45" s="35"/>
      <c r="K45" s="35"/>
      <c r="L45" s="35"/>
      <c r="M45" s="35"/>
      <c r="N45" s="35"/>
      <c r="O45" s="35"/>
      <c r="P45" s="35"/>
      <c r="Q45" s="35"/>
      <c r="R45" s="35"/>
      <c r="S45" s="35"/>
      <c r="T45" s="35"/>
      <c r="U45" s="35"/>
      <c r="V45" s="35"/>
      <c r="W45" s="36"/>
      <c r="X45" s="3"/>
      <c r="Y45" s="15"/>
      <c r="Z45" s="15"/>
      <c r="AA45" s="15"/>
      <c r="AB45" s="15"/>
      <c r="AC45" s="15"/>
      <c r="AD45" s="15"/>
      <c r="AE45" s="15"/>
      <c r="AF45" s="15"/>
      <c r="AG45" s="15"/>
      <c r="AH45" s="15"/>
      <c r="AI45" s="15"/>
      <c r="AJ45" s="15"/>
      <c r="AK45" s="15"/>
      <c r="AL45" s="15"/>
      <c r="AM45" s="15"/>
      <c r="AN45" s="15"/>
      <c r="AO45" s="15"/>
      <c r="AP45" s="15"/>
      <c r="AQ45" s="15"/>
      <c r="AR45" s="15"/>
      <c r="AS45" s="15"/>
      <c r="AT45" s="15"/>
      <c r="AU45" s="15"/>
    </row>
    <row r="46" spans="1:47" s="4" customFormat="1" x14ac:dyDescent="0.25">
      <c r="A46" t="s">
        <v>72</v>
      </c>
      <c r="B46" s="60">
        <v>146</v>
      </c>
      <c r="C46" s="60" t="s">
        <v>88</v>
      </c>
      <c r="D46" s="120">
        <v>1</v>
      </c>
      <c r="E46" s="33">
        <f t="shared" si="7"/>
        <v>146</v>
      </c>
      <c r="F46" s="61"/>
      <c r="G46" s="60"/>
      <c r="H46" s="34">
        <f t="shared" ref="H46:H47" si="8">E46</f>
        <v>146</v>
      </c>
      <c r="I46" s="34"/>
      <c r="J46" s="35"/>
      <c r="K46" s="35"/>
      <c r="L46" s="35"/>
      <c r="M46" s="35"/>
      <c r="N46" s="35"/>
      <c r="O46" s="35"/>
      <c r="P46" s="35"/>
      <c r="Q46" s="35"/>
      <c r="R46" s="35"/>
      <c r="S46" s="35"/>
      <c r="T46" s="35"/>
      <c r="U46" s="35"/>
      <c r="V46" s="35"/>
      <c r="W46" s="36"/>
      <c r="X46" s="3"/>
      <c r="Y46" s="15"/>
      <c r="Z46" s="15"/>
      <c r="AA46" s="15"/>
      <c r="AB46" s="15"/>
      <c r="AC46" s="15"/>
      <c r="AD46" s="15"/>
      <c r="AE46" s="15"/>
      <c r="AF46" s="15"/>
      <c r="AG46" s="15"/>
      <c r="AH46" s="15"/>
      <c r="AI46" s="15"/>
      <c r="AJ46" s="15"/>
      <c r="AK46" s="15"/>
      <c r="AL46" s="15"/>
      <c r="AM46" s="15"/>
      <c r="AN46" s="15"/>
      <c r="AO46" s="15"/>
      <c r="AP46" s="15"/>
      <c r="AQ46" s="15"/>
      <c r="AR46" s="15"/>
      <c r="AS46" s="15"/>
      <c r="AT46" s="15"/>
      <c r="AU46" s="15"/>
    </row>
    <row r="47" spans="1:47" s="4" customFormat="1" x14ac:dyDescent="0.25">
      <c r="A47" t="s">
        <v>73</v>
      </c>
      <c r="B47" s="60">
        <v>145</v>
      </c>
      <c r="C47" s="60" t="s">
        <v>50</v>
      </c>
      <c r="D47" s="120">
        <v>1</v>
      </c>
      <c r="E47" s="33">
        <f t="shared" si="7"/>
        <v>145</v>
      </c>
      <c r="F47" s="61"/>
      <c r="G47" s="60"/>
      <c r="H47" s="34">
        <f t="shared" si="8"/>
        <v>145</v>
      </c>
      <c r="I47" s="34"/>
      <c r="J47" s="35"/>
      <c r="K47" s="35"/>
      <c r="L47" s="35"/>
      <c r="M47" s="35"/>
      <c r="N47" s="35"/>
      <c r="O47" s="35"/>
      <c r="P47" s="35"/>
      <c r="Q47" s="35"/>
      <c r="R47" s="35"/>
      <c r="S47" s="35"/>
      <c r="T47" s="35"/>
      <c r="U47" s="35"/>
      <c r="V47" s="35"/>
      <c r="W47" s="36"/>
      <c r="X47" s="3"/>
      <c r="Y47" s="15"/>
      <c r="Z47" s="15"/>
      <c r="AA47" s="15"/>
      <c r="AB47" s="15"/>
      <c r="AC47" s="15"/>
      <c r="AD47" s="15"/>
      <c r="AE47" s="15"/>
      <c r="AF47" s="15"/>
      <c r="AG47" s="15"/>
      <c r="AH47" s="15"/>
      <c r="AI47" s="15"/>
      <c r="AJ47" s="15"/>
      <c r="AK47" s="15"/>
      <c r="AL47" s="15"/>
      <c r="AM47" s="15"/>
      <c r="AN47" s="15"/>
      <c r="AO47" s="15"/>
      <c r="AP47" s="15"/>
      <c r="AQ47" s="15"/>
      <c r="AR47" s="15"/>
      <c r="AS47" s="15"/>
      <c r="AT47" s="15"/>
      <c r="AU47" s="15"/>
    </row>
    <row r="48" spans="1:47" s="4" customFormat="1" x14ac:dyDescent="0.25">
      <c r="A48" t="s">
        <v>74</v>
      </c>
      <c r="B48" s="60">
        <v>3084</v>
      </c>
      <c r="C48" s="60" t="s">
        <v>49</v>
      </c>
      <c r="D48" s="120">
        <v>3</v>
      </c>
      <c r="E48" s="33">
        <f t="shared" si="7"/>
        <v>9252</v>
      </c>
      <c r="F48" s="61"/>
      <c r="G48" s="60"/>
      <c r="H48" s="34"/>
      <c r="I48" s="34"/>
      <c r="J48" s="35">
        <f>2*E48/3</f>
        <v>6168</v>
      </c>
      <c r="K48" s="35">
        <f>E48/3</f>
        <v>3084</v>
      </c>
      <c r="L48" s="35"/>
      <c r="M48" s="35"/>
      <c r="N48" s="35"/>
      <c r="O48" s="35"/>
      <c r="P48" s="35"/>
      <c r="Q48" s="35"/>
      <c r="R48" s="35"/>
      <c r="S48" s="35"/>
      <c r="T48" s="35"/>
      <c r="U48" s="35"/>
      <c r="V48" s="35"/>
      <c r="W48" s="36"/>
      <c r="X48" s="3"/>
      <c r="Y48" s="15"/>
      <c r="Z48" s="15"/>
      <c r="AA48" s="15"/>
      <c r="AB48" s="15"/>
      <c r="AC48" s="15"/>
      <c r="AD48" s="15"/>
      <c r="AE48" s="15"/>
      <c r="AF48" s="15"/>
      <c r="AG48" s="15"/>
      <c r="AH48" s="15"/>
      <c r="AI48" s="15"/>
      <c r="AJ48" s="15"/>
      <c r="AK48" s="15"/>
      <c r="AL48" s="15"/>
      <c r="AM48" s="15"/>
      <c r="AN48" s="15"/>
      <c r="AO48" s="15"/>
      <c r="AP48" s="15"/>
      <c r="AQ48" s="15"/>
      <c r="AR48" s="15"/>
      <c r="AS48" s="15"/>
      <c r="AT48" s="15"/>
      <c r="AU48" s="15"/>
    </row>
    <row r="49" spans="1:47" s="4" customFormat="1" x14ac:dyDescent="0.25">
      <c r="A49" t="s">
        <v>75</v>
      </c>
      <c r="B49" s="60">
        <v>405</v>
      </c>
      <c r="C49" s="60" t="s">
        <v>89</v>
      </c>
      <c r="D49" s="120">
        <v>1</v>
      </c>
      <c r="E49" s="33">
        <f t="shared" si="7"/>
        <v>405</v>
      </c>
      <c r="F49" s="61"/>
      <c r="G49" s="60"/>
      <c r="H49" s="34">
        <f>E49</f>
        <v>405</v>
      </c>
      <c r="I49" s="34"/>
      <c r="J49" s="35"/>
      <c r="K49" s="35"/>
      <c r="L49" s="35"/>
      <c r="M49" s="35"/>
      <c r="N49" s="35"/>
      <c r="O49" s="35"/>
      <c r="P49" s="35"/>
      <c r="Q49" s="35"/>
      <c r="R49" s="35"/>
      <c r="S49" s="35"/>
      <c r="T49" s="35"/>
      <c r="U49" s="35"/>
      <c r="V49" s="35"/>
      <c r="W49" s="36"/>
      <c r="X49" s="3"/>
      <c r="Y49" s="15"/>
      <c r="Z49" s="15"/>
      <c r="AA49" s="15"/>
      <c r="AB49" s="15"/>
      <c r="AC49" s="15"/>
      <c r="AD49" s="15"/>
      <c r="AE49" s="15"/>
      <c r="AF49" s="15"/>
      <c r="AG49" s="15"/>
      <c r="AH49" s="15"/>
      <c r="AI49" s="15"/>
      <c r="AJ49" s="15"/>
      <c r="AK49" s="15"/>
      <c r="AL49" s="15"/>
      <c r="AM49" s="15"/>
      <c r="AN49" s="15"/>
      <c r="AO49" s="15"/>
      <c r="AP49" s="15"/>
      <c r="AQ49" s="15"/>
      <c r="AR49" s="15"/>
      <c r="AS49" s="15"/>
      <c r="AT49" s="15"/>
      <c r="AU49" s="15"/>
    </row>
    <row r="50" spans="1:47" s="4" customFormat="1" x14ac:dyDescent="0.25">
      <c r="A50" t="s">
        <v>76</v>
      </c>
      <c r="B50" s="60">
        <v>592</v>
      </c>
      <c r="C50" s="60" t="s">
        <v>85</v>
      </c>
      <c r="D50" s="120">
        <v>1</v>
      </c>
      <c r="E50" s="33">
        <f t="shared" si="7"/>
        <v>592</v>
      </c>
      <c r="F50" s="61"/>
      <c r="G50" s="60"/>
      <c r="H50" s="34">
        <f>E50</f>
        <v>592</v>
      </c>
      <c r="I50" s="34"/>
      <c r="J50" s="35"/>
      <c r="K50" s="35"/>
      <c r="L50" s="35"/>
      <c r="M50" s="35"/>
      <c r="N50" s="35"/>
      <c r="O50" s="35"/>
      <c r="P50" s="35"/>
      <c r="Q50" s="35"/>
      <c r="R50" s="35"/>
      <c r="S50" s="35"/>
      <c r="T50" s="35"/>
      <c r="U50" s="35"/>
      <c r="V50" s="35"/>
      <c r="W50" s="36"/>
      <c r="X50" s="3"/>
      <c r="Y50" s="15"/>
      <c r="Z50" s="15"/>
      <c r="AA50" s="15"/>
      <c r="AB50" s="15"/>
      <c r="AC50" s="15"/>
      <c r="AD50" s="15"/>
      <c r="AE50" s="15"/>
      <c r="AF50" s="15"/>
      <c r="AG50" s="15"/>
      <c r="AH50" s="15"/>
      <c r="AI50" s="15"/>
      <c r="AJ50" s="15"/>
      <c r="AK50" s="15"/>
      <c r="AL50" s="15"/>
      <c r="AM50" s="15"/>
      <c r="AN50" s="15"/>
      <c r="AO50" s="15"/>
      <c r="AP50" s="15"/>
      <c r="AQ50" s="15"/>
      <c r="AR50" s="15"/>
      <c r="AS50" s="15"/>
      <c r="AT50" s="15"/>
      <c r="AU50" s="15"/>
    </row>
    <row r="51" spans="1:47" s="4" customFormat="1" x14ac:dyDescent="0.25">
      <c r="A51" t="s">
        <v>77</v>
      </c>
      <c r="B51" s="60">
        <v>1782</v>
      </c>
      <c r="C51" s="60" t="s">
        <v>90</v>
      </c>
      <c r="D51" s="120">
        <v>1</v>
      </c>
      <c r="E51" s="33">
        <f t="shared" si="7"/>
        <v>1782</v>
      </c>
      <c r="F51" s="61"/>
      <c r="G51" s="122"/>
      <c r="H51" s="125"/>
      <c r="I51" s="123"/>
      <c r="J51" s="35"/>
      <c r="K51" s="35">
        <f>E51</f>
        <v>1782</v>
      </c>
      <c r="L51" s="35"/>
      <c r="M51" s="34"/>
      <c r="N51" s="35"/>
      <c r="O51" s="35"/>
      <c r="P51" s="35"/>
      <c r="Q51" s="35"/>
      <c r="R51" s="35"/>
      <c r="S51" s="35"/>
      <c r="T51" s="35"/>
      <c r="U51" s="35"/>
      <c r="V51" s="35"/>
      <c r="W51" s="36"/>
      <c r="X51" s="3"/>
      <c r="Y51" s="15"/>
      <c r="Z51" s="15"/>
      <c r="AA51" s="15"/>
      <c r="AB51" s="15"/>
      <c r="AC51" s="15"/>
      <c r="AD51" s="15"/>
      <c r="AE51" s="15"/>
      <c r="AF51" s="15"/>
      <c r="AG51" s="15"/>
      <c r="AH51" s="15"/>
      <c r="AI51" s="15"/>
      <c r="AJ51" s="15"/>
      <c r="AK51" s="15"/>
      <c r="AL51" s="15"/>
      <c r="AM51" s="15"/>
      <c r="AN51" s="15"/>
      <c r="AO51" s="15"/>
      <c r="AP51" s="15"/>
      <c r="AQ51" s="15"/>
      <c r="AR51" s="15"/>
      <c r="AS51" s="15"/>
      <c r="AT51" s="15"/>
      <c r="AU51" s="15"/>
    </row>
    <row r="52" spans="1:47" s="4" customFormat="1" x14ac:dyDescent="0.25">
      <c r="A52" t="s">
        <v>78</v>
      </c>
      <c r="B52" s="60">
        <v>908</v>
      </c>
      <c r="C52" s="60" t="s">
        <v>85</v>
      </c>
      <c r="D52" s="120">
        <v>1</v>
      </c>
      <c r="E52" s="33">
        <f t="shared" si="7"/>
        <v>908</v>
      </c>
      <c r="F52" s="61"/>
      <c r="G52" s="122"/>
      <c r="H52" s="125"/>
      <c r="I52" s="123"/>
      <c r="J52" s="35"/>
      <c r="K52" s="35">
        <f>E52</f>
        <v>908</v>
      </c>
      <c r="L52" s="35"/>
      <c r="M52" s="34"/>
      <c r="N52" s="35"/>
      <c r="O52" s="35"/>
      <c r="P52" s="35"/>
      <c r="Q52" s="35"/>
      <c r="R52" s="35"/>
      <c r="S52" s="35"/>
      <c r="T52" s="35"/>
      <c r="U52" s="35"/>
      <c r="V52" s="35"/>
      <c r="W52" s="36"/>
      <c r="X52" s="3"/>
      <c r="Y52" s="15"/>
      <c r="Z52" s="15"/>
      <c r="AA52" s="15"/>
      <c r="AB52" s="15"/>
      <c r="AC52" s="15"/>
      <c r="AD52" s="15"/>
      <c r="AE52" s="15"/>
      <c r="AF52" s="15"/>
      <c r="AG52" s="15"/>
      <c r="AH52" s="15"/>
      <c r="AI52" s="15"/>
      <c r="AJ52" s="15"/>
      <c r="AK52" s="15"/>
      <c r="AL52" s="15"/>
      <c r="AM52" s="15"/>
      <c r="AN52" s="15"/>
      <c r="AO52" s="15"/>
      <c r="AP52" s="15"/>
      <c r="AQ52" s="15"/>
      <c r="AR52" s="15"/>
      <c r="AS52" s="15"/>
      <c r="AT52" s="15"/>
      <c r="AU52" s="15"/>
    </row>
    <row r="53" spans="1:47" s="4" customFormat="1" x14ac:dyDescent="0.25">
      <c r="A53" t="s">
        <v>79</v>
      </c>
      <c r="B53" s="60">
        <v>813</v>
      </c>
      <c r="C53" s="60" t="s">
        <v>52</v>
      </c>
      <c r="D53" s="120">
        <v>1</v>
      </c>
      <c r="E53" s="33">
        <f t="shared" si="7"/>
        <v>813</v>
      </c>
      <c r="F53" s="61"/>
      <c r="G53" s="122"/>
      <c r="H53" s="125"/>
      <c r="I53" s="123"/>
      <c r="J53" s="35"/>
      <c r="K53" s="35">
        <f t="shared" ref="K53:K55" si="9">E53</f>
        <v>813</v>
      </c>
      <c r="L53" s="35"/>
      <c r="M53" s="34"/>
      <c r="N53" s="35"/>
      <c r="O53" s="35"/>
      <c r="P53" s="35"/>
      <c r="Q53" s="35"/>
      <c r="R53" s="35"/>
      <c r="S53" s="35"/>
      <c r="T53" s="35"/>
      <c r="U53" s="35"/>
      <c r="V53" s="35"/>
      <c r="W53" s="36"/>
      <c r="X53" s="3"/>
      <c r="Y53" s="15"/>
      <c r="Z53" s="15"/>
      <c r="AA53" s="15"/>
      <c r="AB53" s="15"/>
      <c r="AC53" s="15"/>
      <c r="AD53" s="15"/>
      <c r="AE53" s="15"/>
      <c r="AF53" s="15"/>
      <c r="AG53" s="15"/>
      <c r="AH53" s="15"/>
      <c r="AI53" s="15"/>
      <c r="AJ53" s="15"/>
      <c r="AK53" s="15"/>
      <c r="AL53" s="15"/>
      <c r="AM53" s="15"/>
      <c r="AN53" s="15"/>
      <c r="AO53" s="15"/>
      <c r="AP53" s="15"/>
      <c r="AQ53" s="15"/>
      <c r="AR53" s="15"/>
      <c r="AS53" s="15"/>
      <c r="AT53" s="15"/>
      <c r="AU53" s="15"/>
    </row>
    <row r="54" spans="1:47" s="4" customFormat="1" x14ac:dyDescent="0.25">
      <c r="A54" t="s">
        <v>80</v>
      </c>
      <c r="B54" s="60">
        <v>663</v>
      </c>
      <c r="C54" s="60" t="s">
        <v>52</v>
      </c>
      <c r="D54" s="120">
        <v>1</v>
      </c>
      <c r="E54" s="33">
        <f t="shared" si="7"/>
        <v>663</v>
      </c>
      <c r="F54" s="61"/>
      <c r="G54" s="122"/>
      <c r="H54" s="125"/>
      <c r="I54" s="123"/>
      <c r="J54" s="35"/>
      <c r="K54" s="35">
        <f t="shared" si="9"/>
        <v>663</v>
      </c>
      <c r="L54" s="35"/>
      <c r="M54" s="34"/>
      <c r="N54" s="35"/>
      <c r="O54" s="35"/>
      <c r="P54" s="35"/>
      <c r="Q54" s="35"/>
      <c r="R54" s="35"/>
      <c r="S54" s="35"/>
      <c r="T54" s="35"/>
      <c r="U54" s="35"/>
      <c r="V54" s="35"/>
      <c r="W54" s="36"/>
      <c r="X54" s="3"/>
      <c r="Y54" s="15"/>
      <c r="Z54" s="15"/>
      <c r="AA54" s="15"/>
      <c r="AB54" s="15"/>
      <c r="AC54" s="15"/>
      <c r="AD54" s="15"/>
      <c r="AE54" s="15"/>
      <c r="AF54" s="15"/>
      <c r="AG54" s="15"/>
      <c r="AH54" s="15"/>
      <c r="AI54" s="15"/>
      <c r="AJ54" s="15"/>
      <c r="AK54" s="15"/>
      <c r="AL54" s="15"/>
      <c r="AM54" s="15"/>
      <c r="AN54" s="15"/>
      <c r="AO54" s="15"/>
      <c r="AP54" s="15"/>
      <c r="AQ54" s="15"/>
      <c r="AR54" s="15"/>
      <c r="AS54" s="15"/>
      <c r="AT54" s="15"/>
      <c r="AU54" s="15"/>
    </row>
    <row r="55" spans="1:47" s="4" customFormat="1" x14ac:dyDescent="0.25">
      <c r="A55" t="s">
        <v>81</v>
      </c>
      <c r="B55" s="60">
        <v>675</v>
      </c>
      <c r="C55" s="60" t="s">
        <v>91</v>
      </c>
      <c r="D55" s="120">
        <v>1</v>
      </c>
      <c r="E55" s="33">
        <f t="shared" si="7"/>
        <v>675</v>
      </c>
      <c r="F55" s="61"/>
      <c r="G55" s="122"/>
      <c r="H55" s="125"/>
      <c r="I55" s="123"/>
      <c r="J55" s="35"/>
      <c r="K55" s="35">
        <f t="shared" si="9"/>
        <v>675</v>
      </c>
      <c r="L55" s="35"/>
      <c r="M55" s="34"/>
      <c r="N55" s="35"/>
      <c r="O55" s="35"/>
      <c r="P55" s="35"/>
      <c r="Q55" s="35"/>
      <c r="R55" s="35"/>
      <c r="S55" s="35"/>
      <c r="T55" s="35"/>
      <c r="U55" s="35"/>
      <c r="V55" s="35"/>
      <c r="W55" s="36"/>
      <c r="X55" s="3"/>
      <c r="Y55" s="15"/>
      <c r="Z55" s="15"/>
      <c r="AA55" s="15"/>
      <c r="AB55" s="15"/>
      <c r="AC55" s="15"/>
      <c r="AD55" s="15"/>
      <c r="AE55" s="15"/>
      <c r="AF55" s="15"/>
      <c r="AG55" s="15"/>
      <c r="AH55" s="15"/>
      <c r="AI55" s="15"/>
      <c r="AJ55" s="15"/>
      <c r="AK55" s="15"/>
      <c r="AL55" s="15"/>
      <c r="AM55" s="15"/>
      <c r="AN55" s="15"/>
      <c r="AO55" s="15"/>
      <c r="AP55" s="15"/>
      <c r="AQ55" s="15"/>
      <c r="AR55" s="15"/>
      <c r="AS55" s="15"/>
      <c r="AT55" s="15"/>
      <c r="AU55" s="15"/>
    </row>
    <row r="56" spans="1:47" s="4" customFormat="1" x14ac:dyDescent="0.2">
      <c r="A56" s="110"/>
      <c r="B56" s="59"/>
      <c r="C56" s="60"/>
      <c r="D56" s="113"/>
      <c r="E56" s="33"/>
      <c r="F56" s="61"/>
      <c r="G56" s="34"/>
      <c r="H56" s="124"/>
      <c r="I56" s="34"/>
      <c r="J56" s="35"/>
      <c r="K56" s="35"/>
      <c r="L56" s="35"/>
      <c r="M56" s="35"/>
      <c r="N56" s="35"/>
      <c r="O56" s="35"/>
      <c r="P56" s="35"/>
      <c r="Q56" s="35"/>
      <c r="R56" s="35"/>
      <c r="S56" s="35"/>
      <c r="T56" s="35"/>
      <c r="U56" s="35"/>
      <c r="V56" s="35"/>
      <c r="W56" s="36"/>
      <c r="X56" s="3"/>
      <c r="Y56" s="15"/>
      <c r="Z56" s="15"/>
      <c r="AA56" s="15"/>
      <c r="AB56" s="15"/>
      <c r="AC56" s="15"/>
      <c r="AD56" s="15"/>
      <c r="AE56" s="15"/>
      <c r="AF56" s="15"/>
      <c r="AG56" s="15"/>
      <c r="AH56" s="15"/>
      <c r="AI56" s="15"/>
      <c r="AJ56" s="15"/>
      <c r="AK56" s="15"/>
      <c r="AL56" s="15"/>
      <c r="AM56" s="15"/>
      <c r="AN56" s="15"/>
      <c r="AO56" s="15"/>
      <c r="AP56" s="15"/>
      <c r="AQ56" s="15"/>
      <c r="AR56" s="15"/>
      <c r="AS56" s="15"/>
      <c r="AT56" s="15"/>
      <c r="AU56" s="15"/>
    </row>
    <row r="57" spans="1:47" s="16" customFormat="1" x14ac:dyDescent="0.25">
      <c r="A57" s="40" t="s">
        <v>30</v>
      </c>
      <c r="B57" s="92"/>
      <c r="C57" s="93"/>
      <c r="D57" s="114"/>
      <c r="E57" s="94">
        <f>SUM(E29:E56)</f>
        <v>24017</v>
      </c>
      <c r="F57" s="94"/>
      <c r="G57" s="94">
        <f>SUM(G29:G56)</f>
        <v>7680</v>
      </c>
      <c r="H57" s="94">
        <f>SUM(H29:H56)</f>
        <v>1726</v>
      </c>
      <c r="I57" s="94">
        <f>SUM(I29:I56)</f>
        <v>224</v>
      </c>
      <c r="J57" s="94">
        <f>SUM(J29:J56)</f>
        <v>6168</v>
      </c>
      <c r="K57" s="94">
        <f>SUM(K29:K56)</f>
        <v>8219</v>
      </c>
      <c r="L57" s="94">
        <f t="shared" ref="L57:U57" si="10">SUM(L29:L56)</f>
        <v>0</v>
      </c>
      <c r="M57" s="94">
        <f t="shared" si="10"/>
        <v>0</v>
      </c>
      <c r="N57" s="94">
        <f t="shared" si="10"/>
        <v>0</v>
      </c>
      <c r="O57" s="94">
        <f t="shared" si="10"/>
        <v>0</v>
      </c>
      <c r="P57" s="94">
        <f t="shared" si="10"/>
        <v>0</v>
      </c>
      <c r="Q57" s="94">
        <f t="shared" si="10"/>
        <v>0</v>
      </c>
      <c r="R57" s="94">
        <f t="shared" si="10"/>
        <v>0</v>
      </c>
      <c r="S57" s="94">
        <f t="shared" si="10"/>
        <v>0</v>
      </c>
      <c r="T57" s="94">
        <f t="shared" si="10"/>
        <v>0</v>
      </c>
      <c r="U57" s="94">
        <f t="shared" si="10"/>
        <v>0</v>
      </c>
      <c r="V57" s="94">
        <f>SUM(G57:U57)-E57</f>
        <v>0</v>
      </c>
      <c r="W57" s="45"/>
      <c r="X57" s="3"/>
      <c r="Y57" s="15"/>
      <c r="Z57" s="15"/>
      <c r="AA57" s="15"/>
      <c r="AB57" s="15"/>
      <c r="AC57" s="15"/>
      <c r="AD57" s="15"/>
      <c r="AE57" s="15"/>
      <c r="AF57" s="15"/>
      <c r="AG57" s="15"/>
      <c r="AH57" s="15"/>
      <c r="AI57" s="15"/>
      <c r="AJ57" s="15"/>
      <c r="AK57" s="15"/>
      <c r="AL57" s="15"/>
      <c r="AM57" s="15"/>
      <c r="AN57" s="15"/>
      <c r="AO57" s="15"/>
      <c r="AP57" s="15"/>
      <c r="AQ57" s="15"/>
      <c r="AR57" s="15"/>
      <c r="AS57" s="15"/>
      <c r="AT57" s="15"/>
      <c r="AU57" s="15"/>
    </row>
    <row r="58" spans="1:47" x14ac:dyDescent="0.25">
      <c r="A58" s="29"/>
      <c r="B58" s="30"/>
      <c r="C58" s="31"/>
      <c r="D58" s="32"/>
      <c r="E58" s="33"/>
      <c r="F58" s="33"/>
      <c r="G58" s="34"/>
      <c r="H58" s="34"/>
      <c r="I58" s="34"/>
      <c r="J58" s="35"/>
      <c r="K58" s="35"/>
      <c r="L58" s="35"/>
      <c r="M58" s="35"/>
      <c r="N58" s="35"/>
      <c r="O58" s="35"/>
      <c r="P58" s="35"/>
      <c r="Q58" s="35"/>
      <c r="R58" s="35"/>
      <c r="S58" s="35"/>
      <c r="T58" s="35"/>
      <c r="U58" s="35"/>
      <c r="V58" s="35"/>
      <c r="W58" s="36"/>
    </row>
    <row r="59" spans="1:47" x14ac:dyDescent="0.25">
      <c r="A59" s="21" t="s">
        <v>34</v>
      </c>
      <c r="B59" s="46"/>
      <c r="C59" s="47"/>
      <c r="D59" s="47"/>
      <c r="E59" s="48"/>
      <c r="F59" s="48"/>
      <c r="G59" s="49"/>
      <c r="H59" s="49"/>
      <c r="I59" s="49"/>
      <c r="J59" s="50"/>
      <c r="K59" s="50"/>
      <c r="L59" s="50"/>
      <c r="M59" s="50"/>
      <c r="N59" s="50"/>
      <c r="O59" s="50"/>
      <c r="P59" s="50"/>
      <c r="Q59" s="50"/>
      <c r="R59" s="50"/>
      <c r="S59" s="50"/>
      <c r="T59" s="50"/>
      <c r="U59" s="50"/>
      <c r="V59" s="50"/>
      <c r="W59" s="23"/>
    </row>
    <row r="60" spans="1:47" s="2" customFormat="1" x14ac:dyDescent="0.25">
      <c r="A60" s="29" t="s">
        <v>53</v>
      </c>
      <c r="B60" s="62">
        <v>2175</v>
      </c>
      <c r="C60" s="63" t="s">
        <v>54</v>
      </c>
      <c r="D60" s="64">
        <v>1</v>
      </c>
      <c r="E60" s="33">
        <f>B60*D60</f>
        <v>2175</v>
      </c>
      <c r="F60" s="33"/>
      <c r="G60" s="34"/>
      <c r="H60" s="34"/>
      <c r="I60" s="34"/>
      <c r="J60" s="35"/>
      <c r="K60" s="35"/>
      <c r="L60" s="35"/>
      <c r="M60" s="35"/>
      <c r="N60" s="35"/>
      <c r="O60" s="35"/>
      <c r="P60" s="35">
        <f>E60</f>
        <v>2175</v>
      </c>
      <c r="Q60" s="35"/>
      <c r="R60" s="35"/>
      <c r="S60" s="35"/>
      <c r="T60" s="35"/>
      <c r="U60" s="35"/>
      <c r="V60" s="35"/>
      <c r="W60" s="36"/>
      <c r="X60" s="3"/>
      <c r="Y60" s="15"/>
      <c r="Z60" s="15"/>
      <c r="AA60" s="15"/>
      <c r="AB60" s="15"/>
      <c r="AC60" s="15"/>
      <c r="AD60" s="15"/>
      <c r="AE60" s="15"/>
      <c r="AF60" s="15"/>
      <c r="AG60" s="15"/>
      <c r="AH60" s="15"/>
      <c r="AI60" s="15"/>
      <c r="AJ60" s="15"/>
      <c r="AK60" s="15"/>
      <c r="AL60" s="15"/>
      <c r="AM60" s="15"/>
      <c r="AN60" s="15"/>
      <c r="AO60" s="15"/>
      <c r="AP60" s="15"/>
      <c r="AQ60" s="15"/>
      <c r="AR60" s="15"/>
      <c r="AS60" s="15"/>
      <c r="AT60" s="15"/>
      <c r="AU60" s="15"/>
    </row>
    <row r="61" spans="1:47" s="2" customFormat="1" ht="31.5" x14ac:dyDescent="0.25">
      <c r="A61" s="37" t="s">
        <v>93</v>
      </c>
      <c r="B61" s="62">
        <v>550</v>
      </c>
      <c r="C61" s="63" t="s">
        <v>92</v>
      </c>
      <c r="D61" s="64">
        <v>1</v>
      </c>
      <c r="E61" s="33">
        <f>D61*B61</f>
        <v>550</v>
      </c>
      <c r="F61" s="33"/>
      <c r="G61" s="34"/>
      <c r="H61" s="34"/>
      <c r="I61" s="34"/>
      <c r="J61" s="35"/>
      <c r="K61" s="35"/>
      <c r="L61" s="35"/>
      <c r="M61" s="35"/>
      <c r="N61" s="35">
        <f>E61</f>
        <v>550</v>
      </c>
      <c r="O61" s="35"/>
      <c r="P61" s="35"/>
      <c r="Q61" s="35"/>
      <c r="R61" s="35"/>
      <c r="S61" s="35"/>
      <c r="T61" s="35"/>
      <c r="U61" s="35"/>
      <c r="V61" s="35">
        <f t="shared" ref="V61:V63" si="11">SUM(G61:U61)-E61</f>
        <v>0</v>
      </c>
      <c r="W61" s="36"/>
      <c r="X61" s="1"/>
      <c r="Y61" s="1"/>
      <c r="Z61" s="1"/>
      <c r="AA61" s="1"/>
      <c r="AB61" s="1"/>
      <c r="AC61" s="1"/>
      <c r="AD61" s="1"/>
      <c r="AE61" s="1"/>
      <c r="AF61" s="1"/>
      <c r="AG61" s="1"/>
      <c r="AH61" s="1"/>
      <c r="AI61" s="1"/>
      <c r="AJ61" s="1"/>
      <c r="AK61" s="1"/>
      <c r="AL61" s="1"/>
      <c r="AM61" s="1"/>
      <c r="AN61" s="1"/>
      <c r="AO61" s="1"/>
      <c r="AP61" s="1"/>
      <c r="AQ61" s="1"/>
      <c r="AR61" s="1"/>
      <c r="AS61" s="1"/>
      <c r="AT61" s="1"/>
      <c r="AU61" s="1"/>
    </row>
    <row r="62" spans="1:47" ht="31.5" x14ac:dyDescent="0.25">
      <c r="A62" s="29" t="s">
        <v>55</v>
      </c>
      <c r="B62" s="62">
        <v>550</v>
      </c>
      <c r="C62" s="63" t="s">
        <v>92</v>
      </c>
      <c r="D62" s="32">
        <v>1</v>
      </c>
      <c r="E62" s="33">
        <f>B62*D62</f>
        <v>550</v>
      </c>
      <c r="F62" s="33"/>
      <c r="G62" s="34"/>
      <c r="H62" s="34"/>
      <c r="I62" s="34"/>
      <c r="J62" s="35"/>
      <c r="K62" s="35"/>
      <c r="L62" s="35"/>
      <c r="M62" s="35"/>
      <c r="N62" s="35">
        <f>E62</f>
        <v>550</v>
      </c>
      <c r="O62" s="35"/>
      <c r="P62" s="35"/>
      <c r="Q62" s="35"/>
      <c r="R62" s="35"/>
      <c r="S62" s="35"/>
      <c r="T62" s="35"/>
      <c r="U62" s="35"/>
      <c r="V62" s="35"/>
      <c r="W62" s="36"/>
    </row>
    <row r="63" spans="1:47" s="15" customFormat="1" x14ac:dyDescent="0.25">
      <c r="A63" s="40" t="s">
        <v>30</v>
      </c>
      <c r="B63" s="80"/>
      <c r="C63" s="95"/>
      <c r="D63" s="82"/>
      <c r="E63" s="83">
        <f>SUM(E60:E62)</f>
        <v>3275</v>
      </c>
      <c r="F63" s="83"/>
      <c r="G63" s="83">
        <f t="shared" ref="G63:U63" si="12">SUM(G60:G62)</f>
        <v>0</v>
      </c>
      <c r="H63" s="83">
        <f t="shared" si="12"/>
        <v>0</v>
      </c>
      <c r="I63" s="83">
        <f t="shared" si="12"/>
        <v>0</v>
      </c>
      <c r="J63" s="83">
        <f t="shared" si="12"/>
        <v>0</v>
      </c>
      <c r="K63" s="83">
        <f t="shared" si="12"/>
        <v>0</v>
      </c>
      <c r="L63" s="83">
        <f t="shared" si="12"/>
        <v>0</v>
      </c>
      <c r="M63" s="83">
        <f t="shared" si="12"/>
        <v>0</v>
      </c>
      <c r="N63" s="83">
        <f t="shared" si="12"/>
        <v>1100</v>
      </c>
      <c r="O63" s="83">
        <f t="shared" si="12"/>
        <v>0</v>
      </c>
      <c r="P63" s="83">
        <f t="shared" si="12"/>
        <v>2175</v>
      </c>
      <c r="Q63" s="83">
        <f t="shared" si="12"/>
        <v>0</v>
      </c>
      <c r="R63" s="83">
        <f t="shared" si="12"/>
        <v>0</v>
      </c>
      <c r="S63" s="83">
        <f t="shared" si="12"/>
        <v>0</v>
      </c>
      <c r="T63" s="83">
        <f t="shared" si="12"/>
        <v>0</v>
      </c>
      <c r="U63" s="83">
        <f t="shared" si="12"/>
        <v>0</v>
      </c>
      <c r="V63" s="83">
        <f t="shared" si="11"/>
        <v>0</v>
      </c>
      <c r="W63" s="45"/>
      <c r="X63" s="3"/>
    </row>
    <row r="64" spans="1:47" x14ac:dyDescent="0.25">
      <c r="A64" s="29"/>
      <c r="B64" s="30"/>
      <c r="C64" s="31"/>
      <c r="D64" s="32"/>
      <c r="E64" s="33"/>
      <c r="F64" s="33"/>
      <c r="G64" s="34"/>
      <c r="H64" s="34"/>
      <c r="I64" s="34"/>
      <c r="J64" s="35"/>
      <c r="K64" s="35"/>
      <c r="L64" s="35"/>
      <c r="M64" s="35"/>
      <c r="N64" s="35"/>
      <c r="O64" s="35"/>
      <c r="P64" s="35"/>
      <c r="Q64" s="35"/>
      <c r="R64" s="35"/>
      <c r="S64" s="35"/>
      <c r="T64" s="35"/>
      <c r="U64" s="35"/>
      <c r="V64" s="35"/>
      <c r="W64" s="36"/>
    </row>
    <row r="65" spans="1:47" x14ac:dyDescent="0.25">
      <c r="A65" s="65" t="s">
        <v>35</v>
      </c>
      <c r="B65" s="66"/>
      <c r="C65" s="67"/>
      <c r="D65" s="115"/>
      <c r="E65" s="68"/>
      <c r="F65" s="68"/>
      <c r="G65" s="69"/>
      <c r="H65" s="69"/>
      <c r="I65" s="69"/>
      <c r="J65" s="70"/>
      <c r="K65" s="70"/>
      <c r="L65" s="70"/>
      <c r="M65" s="70"/>
      <c r="N65" s="70"/>
      <c r="O65" s="70"/>
      <c r="P65" s="70"/>
      <c r="Q65" s="70"/>
      <c r="R65" s="70"/>
      <c r="S65" s="70"/>
      <c r="T65" s="70"/>
      <c r="U65" s="70"/>
      <c r="V65" s="70"/>
      <c r="W65" s="71"/>
    </row>
    <row r="66" spans="1:47" s="2" customFormat="1" x14ac:dyDescent="0.25">
      <c r="A66" s="111" t="s">
        <v>99</v>
      </c>
      <c r="B66" s="62">
        <v>300</v>
      </c>
      <c r="C66" s="63" t="s">
        <v>51</v>
      </c>
      <c r="D66" s="64">
        <v>1</v>
      </c>
      <c r="E66" s="33">
        <f>B66*D66</f>
        <v>300</v>
      </c>
      <c r="F66" s="33"/>
      <c r="G66" s="34">
        <f>E66</f>
        <v>300</v>
      </c>
      <c r="H66" s="34"/>
      <c r="I66" s="34"/>
      <c r="J66" s="35"/>
      <c r="K66" s="35"/>
      <c r="L66" s="35"/>
      <c r="M66" s="35"/>
      <c r="N66" s="35"/>
      <c r="O66" s="35"/>
      <c r="P66" s="35"/>
      <c r="Q66" s="35"/>
      <c r="R66" s="35"/>
      <c r="S66" s="35"/>
      <c r="T66" s="35"/>
      <c r="U66" s="35"/>
      <c r="V66" s="35">
        <f t="shared" ref="V66:V67" si="13">SUM(G66:U66)-E66</f>
        <v>0</v>
      </c>
      <c r="W66" s="36"/>
      <c r="X66" s="1"/>
      <c r="Y66" s="1"/>
      <c r="Z66" s="1"/>
      <c r="AA66" s="1"/>
      <c r="AB66" s="1"/>
      <c r="AC66" s="1"/>
      <c r="AD66" s="1"/>
      <c r="AE66" s="1"/>
      <c r="AF66" s="1"/>
      <c r="AG66" s="1"/>
      <c r="AH66" s="1"/>
      <c r="AI66" s="1"/>
      <c r="AJ66" s="1"/>
      <c r="AK66" s="1"/>
      <c r="AL66" s="1"/>
      <c r="AM66" s="1"/>
      <c r="AN66" s="1"/>
      <c r="AO66" s="1"/>
      <c r="AP66" s="1"/>
      <c r="AQ66" s="1"/>
      <c r="AR66" s="1"/>
      <c r="AS66" s="1"/>
      <c r="AT66" s="1"/>
      <c r="AU66" s="1"/>
    </row>
    <row r="67" spans="1:47" s="15" customFormat="1" x14ac:dyDescent="0.25">
      <c r="A67" s="40" t="s">
        <v>30</v>
      </c>
      <c r="B67" s="80"/>
      <c r="C67" s="95"/>
      <c r="D67" s="82"/>
      <c r="E67" s="83">
        <f>SUM(E66:E66)</f>
        <v>300</v>
      </c>
      <c r="F67" s="83"/>
      <c r="G67" s="83">
        <f t="shared" ref="G67:U67" si="14">SUM(G66:G66)</f>
        <v>300</v>
      </c>
      <c r="H67" s="83"/>
      <c r="I67" s="83">
        <f t="shared" si="14"/>
        <v>0</v>
      </c>
      <c r="J67" s="83">
        <f t="shared" si="14"/>
        <v>0</v>
      </c>
      <c r="K67" s="83">
        <f t="shared" si="14"/>
        <v>0</v>
      </c>
      <c r="L67" s="83">
        <f t="shared" si="14"/>
        <v>0</v>
      </c>
      <c r="M67" s="83">
        <f t="shared" si="14"/>
        <v>0</v>
      </c>
      <c r="N67" s="83">
        <f t="shared" si="14"/>
        <v>0</v>
      </c>
      <c r="O67" s="83">
        <f t="shared" si="14"/>
        <v>0</v>
      </c>
      <c r="P67" s="83">
        <f t="shared" si="14"/>
        <v>0</v>
      </c>
      <c r="Q67" s="83">
        <f t="shared" si="14"/>
        <v>0</v>
      </c>
      <c r="R67" s="83">
        <f t="shared" si="14"/>
        <v>0</v>
      </c>
      <c r="S67" s="83">
        <f t="shared" si="14"/>
        <v>0</v>
      </c>
      <c r="T67" s="83">
        <f t="shared" si="14"/>
        <v>0</v>
      </c>
      <c r="U67" s="83">
        <f t="shared" si="14"/>
        <v>0</v>
      </c>
      <c r="V67" s="83">
        <f t="shared" si="13"/>
        <v>0</v>
      </c>
      <c r="W67" s="45"/>
      <c r="X67" s="3"/>
    </row>
    <row r="68" spans="1:47" x14ac:dyDescent="0.25">
      <c r="A68" s="29"/>
      <c r="B68" s="30"/>
      <c r="C68" s="31"/>
      <c r="D68" s="32"/>
      <c r="E68" s="33"/>
      <c r="F68" s="33"/>
      <c r="G68" s="34"/>
      <c r="H68" s="34"/>
      <c r="I68" s="34"/>
      <c r="J68" s="35"/>
      <c r="K68" s="35"/>
      <c r="L68" s="35"/>
      <c r="M68" s="35"/>
      <c r="N68" s="35"/>
      <c r="O68" s="35"/>
      <c r="P68" s="35"/>
      <c r="Q68" s="35"/>
      <c r="R68" s="35"/>
      <c r="S68" s="35"/>
      <c r="T68" s="35"/>
      <c r="U68" s="35"/>
      <c r="V68" s="35"/>
      <c r="W68" s="36"/>
    </row>
    <row r="69" spans="1:47" x14ac:dyDescent="0.25">
      <c r="A69" s="21" t="s">
        <v>36</v>
      </c>
      <c r="B69" s="46"/>
      <c r="C69" s="47"/>
      <c r="D69" s="47"/>
      <c r="E69" s="48"/>
      <c r="F69" s="48"/>
      <c r="G69" s="49"/>
      <c r="H69" s="49"/>
      <c r="I69" s="49"/>
      <c r="J69" s="50"/>
      <c r="K69" s="50"/>
      <c r="L69" s="50"/>
      <c r="M69" s="50"/>
      <c r="N69" s="50"/>
      <c r="O69" s="50"/>
      <c r="P69" s="50"/>
      <c r="Q69" s="50"/>
      <c r="R69" s="50"/>
      <c r="S69" s="50"/>
      <c r="T69" s="50"/>
      <c r="U69" s="50"/>
      <c r="V69" s="50"/>
      <c r="W69" s="23"/>
      <c r="X69" s="3"/>
      <c r="Y69" s="15"/>
      <c r="Z69" s="15"/>
      <c r="AA69" s="15"/>
      <c r="AB69" s="15"/>
      <c r="AC69" s="15"/>
      <c r="AD69" s="15"/>
      <c r="AE69" s="15"/>
      <c r="AF69" s="15"/>
      <c r="AG69" s="15"/>
      <c r="AH69" s="15"/>
      <c r="AI69" s="15"/>
      <c r="AJ69" s="15"/>
      <c r="AK69" s="15"/>
      <c r="AL69" s="15"/>
      <c r="AM69" s="15"/>
      <c r="AN69" s="15"/>
      <c r="AO69" s="15"/>
      <c r="AP69" s="15"/>
      <c r="AQ69" s="15"/>
      <c r="AR69" s="15"/>
      <c r="AS69" s="15"/>
      <c r="AT69" s="15"/>
      <c r="AU69" s="15"/>
    </row>
    <row r="70" spans="1:47" x14ac:dyDescent="0.25">
      <c r="A70" s="37" t="s">
        <v>29</v>
      </c>
      <c r="B70" s="62"/>
      <c r="C70" s="73"/>
      <c r="D70" s="32"/>
      <c r="E70" s="33"/>
      <c r="F70" s="33"/>
      <c r="G70" s="34"/>
      <c r="H70" s="34"/>
      <c r="I70" s="34"/>
      <c r="J70" s="35"/>
      <c r="K70" s="35"/>
      <c r="L70" s="35"/>
      <c r="M70" s="35"/>
      <c r="N70" s="35"/>
      <c r="O70" s="35"/>
      <c r="P70" s="35"/>
      <c r="Q70" s="35"/>
      <c r="R70" s="35"/>
      <c r="S70" s="35"/>
      <c r="T70" s="35"/>
      <c r="U70" s="35"/>
      <c r="V70" s="35">
        <f t="shared" ref="V70:V71" si="15">SUM(G70:U70)-E70</f>
        <v>0</v>
      </c>
      <c r="W70" s="36"/>
      <c r="X70" s="3"/>
      <c r="Y70" s="15"/>
      <c r="Z70" s="15"/>
      <c r="AA70" s="15"/>
      <c r="AB70" s="15"/>
      <c r="AC70" s="15"/>
      <c r="AD70" s="15"/>
      <c r="AE70" s="15"/>
      <c r="AF70" s="15"/>
      <c r="AG70" s="15"/>
      <c r="AH70" s="15"/>
      <c r="AI70" s="15"/>
      <c r="AJ70" s="15"/>
      <c r="AK70" s="15"/>
      <c r="AL70" s="15"/>
      <c r="AM70" s="15"/>
      <c r="AN70" s="15"/>
      <c r="AO70" s="15"/>
      <c r="AP70" s="15"/>
      <c r="AQ70" s="15"/>
      <c r="AR70" s="15"/>
      <c r="AS70" s="15"/>
      <c r="AT70" s="15"/>
      <c r="AU70" s="15"/>
    </row>
    <row r="71" spans="1:47" x14ac:dyDescent="0.25">
      <c r="A71" s="74"/>
      <c r="B71" s="62"/>
      <c r="C71" s="73"/>
      <c r="D71" s="32"/>
      <c r="E71" s="39"/>
      <c r="F71" s="39"/>
      <c r="G71" s="34"/>
      <c r="H71" s="34"/>
      <c r="I71" s="34"/>
      <c r="J71" s="35"/>
      <c r="K71" s="35"/>
      <c r="L71" s="35"/>
      <c r="M71" s="35"/>
      <c r="N71" s="35"/>
      <c r="O71" s="35"/>
      <c r="P71" s="35"/>
      <c r="Q71" s="35"/>
      <c r="R71" s="35"/>
      <c r="S71" s="35"/>
      <c r="T71" s="35"/>
      <c r="U71" s="35"/>
      <c r="V71" s="35">
        <f t="shared" si="15"/>
        <v>0</v>
      </c>
      <c r="W71" s="36"/>
    </row>
    <row r="72" spans="1:47" s="15" customFormat="1" x14ac:dyDescent="0.25">
      <c r="A72" s="40" t="s">
        <v>30</v>
      </c>
      <c r="B72" s="96"/>
      <c r="C72" s="97"/>
      <c r="D72" s="98"/>
      <c r="E72" s="99">
        <v>0</v>
      </c>
      <c r="F72" s="99"/>
      <c r="G72" s="99">
        <f>SUM(G70:G71)</f>
        <v>0</v>
      </c>
      <c r="H72" s="99">
        <f t="shared" ref="H72:U72" si="16">SUM(H70:H71)</f>
        <v>0</v>
      </c>
      <c r="I72" s="99">
        <f t="shared" si="16"/>
        <v>0</v>
      </c>
      <c r="J72" s="99">
        <f t="shared" si="16"/>
        <v>0</v>
      </c>
      <c r="K72" s="99">
        <f t="shared" si="16"/>
        <v>0</v>
      </c>
      <c r="L72" s="99">
        <f t="shared" si="16"/>
        <v>0</v>
      </c>
      <c r="M72" s="99">
        <f t="shared" si="16"/>
        <v>0</v>
      </c>
      <c r="N72" s="99">
        <f t="shared" si="16"/>
        <v>0</v>
      </c>
      <c r="O72" s="99">
        <f t="shared" si="16"/>
        <v>0</v>
      </c>
      <c r="P72" s="99">
        <f t="shared" si="16"/>
        <v>0</v>
      </c>
      <c r="Q72" s="99">
        <f t="shared" si="16"/>
        <v>0</v>
      </c>
      <c r="R72" s="99">
        <f t="shared" si="16"/>
        <v>0</v>
      </c>
      <c r="S72" s="99">
        <f t="shared" si="16"/>
        <v>0</v>
      </c>
      <c r="T72" s="99">
        <f t="shared" si="16"/>
        <v>0</v>
      </c>
      <c r="U72" s="99">
        <f t="shared" si="16"/>
        <v>0</v>
      </c>
      <c r="V72" s="99">
        <f>SUM(G72:U72)-E72</f>
        <v>0</v>
      </c>
      <c r="W72" s="45"/>
      <c r="X72" s="3"/>
    </row>
    <row r="73" spans="1:47" s="15" customFormat="1" ht="18.75" customHeight="1" x14ac:dyDescent="0.25">
      <c r="A73" s="20" t="s">
        <v>9</v>
      </c>
      <c r="B73" s="100"/>
      <c r="C73" s="101"/>
      <c r="D73" s="101"/>
      <c r="E73" s="102">
        <f>E20+E57+E63+E67</f>
        <v>29992</v>
      </c>
      <c r="F73" s="102">
        <f t="shared" ref="F73:T73" si="17">F20+F57+F63+F67</f>
        <v>0</v>
      </c>
      <c r="G73" s="102">
        <f t="shared" si="17"/>
        <v>10380</v>
      </c>
      <c r="H73" s="102">
        <f t="shared" si="17"/>
        <v>1726</v>
      </c>
      <c r="I73" s="102">
        <f t="shared" si="17"/>
        <v>224</v>
      </c>
      <c r="J73" s="102">
        <f t="shared" si="17"/>
        <v>6168</v>
      </c>
      <c r="K73" s="102">
        <f t="shared" si="17"/>
        <v>8219</v>
      </c>
      <c r="L73" s="102">
        <f t="shared" si="17"/>
        <v>0</v>
      </c>
      <c r="M73" s="102">
        <f t="shared" si="17"/>
        <v>0</v>
      </c>
      <c r="N73" s="102">
        <f t="shared" si="17"/>
        <v>1100</v>
      </c>
      <c r="O73" s="102">
        <f t="shared" si="17"/>
        <v>0</v>
      </c>
      <c r="P73" s="102">
        <f t="shared" si="17"/>
        <v>2175</v>
      </c>
      <c r="Q73" s="102">
        <f t="shared" si="17"/>
        <v>0</v>
      </c>
      <c r="R73" s="102">
        <f t="shared" si="17"/>
        <v>0</v>
      </c>
      <c r="S73" s="102">
        <f t="shared" si="17"/>
        <v>0</v>
      </c>
      <c r="T73" s="102">
        <f t="shared" si="17"/>
        <v>0</v>
      </c>
      <c r="U73" s="102">
        <f t="shared" ref="U73" si="18">U57+U63+U67+U72</f>
        <v>0</v>
      </c>
      <c r="V73" s="103">
        <f>V14+V20+V26+V57+V63+V67+V72</f>
        <v>0</v>
      </c>
      <c r="W73" s="104"/>
      <c r="X73" s="3"/>
    </row>
    <row r="74" spans="1:47" s="2" customFormat="1" ht="18.75" customHeight="1" x14ac:dyDescent="0.25">
      <c r="A74" s="5"/>
      <c r="B74" s="6"/>
      <c r="C74" s="6"/>
      <c r="D74" s="116"/>
      <c r="E74" s="6"/>
      <c r="F74" s="6"/>
      <c r="G74" s="6"/>
      <c r="H74" s="6"/>
      <c r="I74" s="6"/>
      <c r="J74" s="6"/>
      <c r="K74" s="6"/>
      <c r="L74" s="6"/>
      <c r="M74" s="6"/>
      <c r="N74" s="6"/>
      <c r="O74" s="6"/>
      <c r="P74" s="6"/>
      <c r="Q74" s="6"/>
      <c r="R74" s="6"/>
      <c r="S74" s="6"/>
      <c r="T74" s="6"/>
      <c r="U74" s="6"/>
      <c r="V74" s="6"/>
      <c r="W74" s="7"/>
      <c r="X74" s="1"/>
      <c r="Y74" s="1"/>
      <c r="Z74" s="1"/>
      <c r="AA74" s="1"/>
      <c r="AB74" s="1"/>
      <c r="AC74" s="1"/>
      <c r="AD74" s="1"/>
      <c r="AE74" s="1"/>
      <c r="AF74" s="1"/>
      <c r="AG74" s="1"/>
      <c r="AH74" s="1"/>
      <c r="AI74" s="1"/>
      <c r="AJ74" s="1"/>
      <c r="AK74" s="1"/>
      <c r="AL74" s="1"/>
      <c r="AM74" s="1"/>
      <c r="AN74" s="1"/>
      <c r="AO74" s="1"/>
      <c r="AP74" s="1"/>
      <c r="AQ74" s="1"/>
      <c r="AR74" s="1"/>
      <c r="AS74" s="1"/>
      <c r="AT74" s="1"/>
      <c r="AU74" s="1"/>
    </row>
    <row r="75" spans="1:47" x14ac:dyDescent="0.25">
      <c r="X75" s="3"/>
      <c r="Y75" s="15"/>
      <c r="Z75" s="15"/>
      <c r="AA75" s="15"/>
      <c r="AB75" s="15"/>
      <c r="AC75" s="15"/>
      <c r="AD75" s="15"/>
      <c r="AE75" s="15"/>
      <c r="AF75" s="15"/>
      <c r="AG75" s="15"/>
      <c r="AH75" s="15"/>
      <c r="AI75" s="15"/>
      <c r="AJ75" s="15"/>
      <c r="AK75" s="15"/>
      <c r="AL75" s="15"/>
      <c r="AM75" s="15"/>
      <c r="AN75" s="15"/>
      <c r="AO75" s="15"/>
      <c r="AP75" s="15"/>
      <c r="AQ75" s="15"/>
      <c r="AR75" s="15"/>
      <c r="AS75" s="15"/>
      <c r="AT75" s="15"/>
      <c r="AU75" s="15"/>
    </row>
  </sheetData>
  <mergeCells count="9">
    <mergeCell ref="B7:E7"/>
    <mergeCell ref="B1:E1"/>
    <mergeCell ref="G2:J6"/>
    <mergeCell ref="L2:O6"/>
    <mergeCell ref="B2:E2"/>
    <mergeCell ref="B3:E3"/>
    <mergeCell ref="B4:E4"/>
    <mergeCell ref="B5:E5"/>
    <mergeCell ref="B6:E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Budget 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Yen Khuc Thi Hoang</dc:creator>
  <cp:keywords/>
  <dc:description/>
  <cp:lastModifiedBy>Thanh Nguyen Trung</cp:lastModifiedBy>
  <cp:revision/>
  <dcterms:created xsi:type="dcterms:W3CDTF">2020-11-16T07:52:00Z</dcterms:created>
  <dcterms:modified xsi:type="dcterms:W3CDTF">2025-11-14T06:00:06Z</dcterms:modified>
  <cp:category/>
  <cp:contentStatus/>
</cp:coreProperties>
</file>