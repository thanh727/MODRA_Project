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66925"/>
  <mc:AlternateContent xmlns:mc="http://schemas.openxmlformats.org/markup-compatibility/2006">
    <mc:Choice Requires="x15">
      <x15ac:absPath xmlns:x15ac="http://schemas.microsoft.com/office/spreadsheetml/2010/11/ac" url="C:\Users\thanh.nt\Desktop\GitHub\MODRA_Project\MODRA_PLANNING\"/>
    </mc:Choice>
  </mc:AlternateContent>
  <xr:revisionPtr revIDLastSave="0" documentId="8_{C75AC2C1-A87A-4728-BF71-7DDD5135DE3B}" xr6:coauthVersionLast="36" xr6:coauthVersionMax="36" xr10:uidLastSave="{00000000-0000-0000-0000-000000000000}"/>
  <bookViews>
    <workbookView xWindow="-120" yWindow="-120" windowWidth="29040" windowHeight="15840" xr2:uid="{00000000-000D-0000-FFFF-FFFF00000000}"/>
  </bookViews>
  <sheets>
    <sheet name="Mẫu in tài liệu kinh doanh"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2" i="2" l="1"/>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7" i="2"/>
  <c r="J128" i="2"/>
  <c r="J129" i="2"/>
  <c r="J130" i="2"/>
  <c r="J131" i="2"/>
  <c r="J132" i="2"/>
  <c r="J134" i="2"/>
  <c r="J135" i="2"/>
  <c r="J137" i="2"/>
  <c r="J138" i="2"/>
  <c r="J71" i="2"/>
  <c r="J69"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14" i="2"/>
  <c r="J6" i="2"/>
  <c r="J7" i="2"/>
  <c r="J8" i="2"/>
  <c r="J9" i="2"/>
  <c r="J10" i="2"/>
  <c r="J11" i="2"/>
  <c r="J5" i="2"/>
</calcChain>
</file>

<file path=xl/sharedStrings.xml><?xml version="1.0" encoding="utf-8"?>
<sst xmlns="http://schemas.openxmlformats.org/spreadsheetml/2006/main" count="579" uniqueCount="266">
  <si>
    <t>TT</t>
  </si>
  <si>
    <t>Mã hàng</t>
  </si>
  <si>
    <t>Mô tả</t>
  </si>
  <si>
    <t>Hãng SX</t>
  </si>
  <si>
    <t>Đóng gói</t>
  </si>
  <si>
    <t>Đvt</t>
  </si>
  <si>
    <t>SL</t>
  </si>
  <si>
    <t>Đơn giá</t>
  </si>
  <si>
    <t>Thành tiền</t>
  </si>
  <si>
    <t>Ghi chú</t>
  </si>
  <si>
    <t>Hộp</t>
  </si>
  <si>
    <t>Tổng cộng (VND)</t>
  </si>
  <si>
    <t>....</t>
  </si>
  <si>
    <t>B-PER™ Complete Bacterial Protein Extraction Reagent</t>
  </si>
  <si>
    <t>Thermo Scientific™</t>
  </si>
  <si>
    <t>250 mL</t>
  </si>
  <si>
    <t>Chai</t>
  </si>
  <si>
    <t>I. Chiết xuất Protein</t>
  </si>
  <si>
    <t>500 mL</t>
  </si>
  <si>
    <t>• Detergent in Tris buffer with Lysozyme and Universal Nuclease
• Improved cell lysis and DNA digestion, thereby releasing soluble proteins and reducing viscosity to increase yields
• Recovery of large molecular weight proteins (high MW proteins)</t>
  </si>
  <si>
    <t>B-PER™ Bacterial Protein Extraction Reagent</t>
  </si>
  <si>
    <t>165 mL</t>
  </si>
  <si>
    <t>• Detergent in Tris buffer; no enzyme components
• Bacterial lysis
• Purification of affinity tagged proteins</t>
  </si>
  <si>
    <t>B-PER™ II Bacterial Protein Extraction Reagent (2X)</t>
  </si>
  <si>
    <t>• 2X B-PER (detergent in Tris buffer; no enzyme components)
• Bacterial lysis for low cell density
• Purification of proteins having low expression levels</t>
  </si>
  <si>
    <t>B-PER™ Reagent (in Phosphate Buffer)</t>
  </si>
  <si>
    <t>1. Đệm ly giải tế bào vi khuẩn B-PER</t>
  </si>
  <si>
    <t>• Detergent in sodium phosphate buffer; no enzyme components
• Amine-free formulation for direct compatibility of lysate with amine-reactive labeling and crosslinking</t>
  </si>
  <si>
    <t>2. Detergents for Protein Solubilization</t>
  </si>
  <si>
    <t>NP-40 Surfact-Amps™ Detergent Solution, 50 mL</t>
  </si>
  <si>
    <t>NP-40 Surfact-Amps™ Detergent Solution, 500 mL</t>
  </si>
  <si>
    <t>Triton™ X-100 Surfact-Amps™ Detergent Solution, 6 x 10 mL</t>
  </si>
  <si>
    <t>Triton™ X-100 Surfact-Amps™ Detergent Solution, 50 mL</t>
  </si>
  <si>
    <t>Triton™ X-100 Surfact-Amps™ Detergent Solution, 250 mL</t>
  </si>
  <si>
    <t>Triton™ X-114 Surfact-Amps™ Detergent Solution</t>
  </si>
  <si>
    <t>Tween™ 20 Surfact-Amps™ Detergent Solution, 6 x 10 mL</t>
  </si>
  <si>
    <t>Tween™ 20 Surfact-Amps™ Detergent Solution, 50 mL</t>
  </si>
  <si>
    <t>Tween™ 20 Surfact-Amps™ Detergent Solution, 500 mL</t>
  </si>
  <si>
    <t>Tween™ 80 Surfact-Amps™ Detergent Solution, 6 x 10 mL</t>
  </si>
  <si>
    <t>Tween™ 80 Surfact-Amps™ Detergent Solution, 50 mL</t>
  </si>
  <si>
    <t>Tween™ 80 Surfact-Amps™ Detergent Solution, 500 mL</t>
  </si>
  <si>
    <t>Brij™-35 Surfact-Amps™ Detergent Solution, 6 x 10 mL</t>
  </si>
  <si>
    <t>Brij™-35 Surfact-Amps™ Detergent Solution, 50 mL</t>
  </si>
  <si>
    <t>Brij™-35 Surfact-Amps™ Detergent Solution, 500 mL</t>
  </si>
  <si>
    <t>Brij™-58 Surfact-Amps™ Detergent Solution</t>
  </si>
  <si>
    <t>2.1. Non-ionic detergents</t>
  </si>
  <si>
    <t>Good for isolating cytoplasmic proteins but not nuclear proteins</t>
  </si>
  <si>
    <t>Commonly used for cell lysis buffers for performing various protein analysis methods
Triton X-114 can be used to separate hydrophobic and hydrophilic membrane proteins in certain conditions</t>
  </si>
  <si>
    <t>Cell lysis and protein isolation for ELISA, Western Blotting, and other immunoassay PBS or TBS wash buffers</t>
  </si>
  <si>
    <t>Commonly used for cell lysis buffers
Brij-35 can be used as a surfactant in various HPLC applications</t>
  </si>
  <si>
    <t>50 ML.</t>
  </si>
  <si>
    <t>6 X 10 ML</t>
  </si>
  <si>
    <t>50 ML</t>
  </si>
  <si>
    <t>Sodium Dodecyl Sulfate (SDS), Lauryl, 100 g</t>
  </si>
  <si>
    <t>Sodium Dodecyl Sulfate (SDS), C12</t>
  </si>
  <si>
    <t>Sodium Deoxycholate Detergent, 25 g</t>
  </si>
  <si>
    <t>2.2 Ionic detergents</t>
  </si>
  <si>
    <t xml:space="preserve">Anionic
Useful for disrupting and dissociating protein interactions
Frequently used in cell lysis buffers (RIPA buffer) </t>
  </si>
  <si>
    <t>Popular for protein electrophoresis and solubilization
Eliminate most all secondary chain lengths except C12</t>
  </si>
  <si>
    <t xml:space="preserve">Popular for denaturing polyacrylamide gel electrophoresis (SDS-PAGE) </t>
  </si>
  <si>
    <t>2.3. Zwitterionic detergents</t>
  </si>
  <si>
    <t>CHAPS Detergent (3-((3-cholamidopropyl) dimethylammonio)-1-propanesulfonate), 5 g</t>
  </si>
  <si>
    <t>CHAPS Detergent (3-((3-cholamidopropyl) dimethylammonio)-1-propanesulfonate), 100 g</t>
  </si>
  <si>
    <t>Zwitterionic
Mild lysis agent effective for the lysis of cultured mammalian cells
Suitable for protecting the native state of proteins and maintaining protein activity</t>
  </si>
  <si>
    <t>6 x 10 mL</t>
  </si>
  <si>
    <t>100 g</t>
  </si>
  <si>
    <t>25 g</t>
  </si>
  <si>
    <t>500 g</t>
  </si>
  <si>
    <t>5 g</t>
  </si>
  <si>
    <t>3. Bảo vệ sự toàn vẹn protein</t>
  </si>
  <si>
    <t>Halt™ Protease Inhibitor Cocktail (100X)</t>
  </si>
  <si>
    <t>Halt™ Protease Inhibitor Cocktail (100X), EDTA-free</t>
  </si>
  <si>
    <t>1 mL</t>
  </si>
  <si>
    <t>Halt™ Phosphatase Inhibitor Single-Use Cocktail</t>
  </si>
  <si>
    <t>Halt™ Protease and Phosphatase Inhibitor Cocktail (100X)</t>
  </si>
  <si>
    <t>Halt™ Protease and Phosphatase Inhibitor Cocktail, EDTA-free (100X)</t>
  </si>
  <si>
    <t>Ống</t>
  </si>
  <si>
    <t>II. Làm sạch Protein</t>
  </si>
  <si>
    <t>1. Thẩm tách Slide-A-Lyzer</t>
  </si>
  <si>
    <t>Slide-A-Lyzer™ MINI Dialysis Devices, 10K MWCO</t>
  </si>
  <si>
    <t>Sample Volume: 2 mL, 25 Devices</t>
  </si>
  <si>
    <t>Hộp/ 25 cái</t>
  </si>
  <si>
    <t>Sample Volume: 0.1 mL, 10 Devices</t>
  </si>
  <si>
    <t>Hộp/ 10 cái</t>
  </si>
  <si>
    <t>Sample Volume: 0.5 mL, 25 Devices</t>
  </si>
  <si>
    <t>2. Khử muối Zebra desalting</t>
  </si>
  <si>
    <t>Zeba™ Spin Desalting Columns 7K MWCO, Spin Column. 2 mL, 25 Columns</t>
  </si>
  <si>
    <t>Zeba™ Spin Desalting Columns 7K MWCO, Spin Column, 75 μL, 25 Columns</t>
  </si>
  <si>
    <t>A40002469</t>
  </si>
  <si>
    <t>Zeba™ Spin Desalting Columns 7K MWCO, Spin Column, 20 mL, 5 Columns</t>
  </si>
  <si>
    <t>Zeba™ Spin Desalting Columns 7K MWCO, Spin Column, 5 mL, 5 Columns</t>
  </si>
  <si>
    <t>Spin columns</t>
  </si>
  <si>
    <t>Chromatography Cartridge</t>
  </si>
  <si>
    <t>Zeba™ Cartridges, 7K MWCO, 1 mL</t>
  </si>
  <si>
    <t>5 columns x 1 mL</t>
  </si>
  <si>
    <t>25 cột x 2 mL</t>
  </si>
  <si>
    <t>25 cột x 75 μL</t>
  </si>
  <si>
    <t>5 cột x 20 mL</t>
  </si>
  <si>
    <t>5 cột x 5 mL</t>
  </si>
  <si>
    <t>1 column x 5 mL</t>
  </si>
  <si>
    <t>Zeba™ Cartridges, 7K MWCO, 5 mL</t>
  </si>
  <si>
    <t>Zeba™ Plates 7K MWCO, 20 to 100 μL</t>
  </si>
  <si>
    <t>2 Plates</t>
  </si>
  <si>
    <t>4 Plates</t>
  </si>
  <si>
    <t>Plate</t>
  </si>
  <si>
    <t>3. Cô đặc protein - Pierce</t>
  </si>
  <si>
    <t>Pierce™ Protein Concentrators PES, 10K MWCO, 100 to 500 μL</t>
  </si>
  <si>
    <t>Pierce™ Protein Concentrators PES, 10K MWCO, 2 to 6 mL</t>
  </si>
  <si>
    <t>Pierce™ Protein Concentrators PES, 10K MWCO, 5 to 20 mL</t>
  </si>
  <si>
    <t>Pierce™ Protein Concentrators PES, 10K MWCO, 20 to 100 mL</t>
  </si>
  <si>
    <t>25 Concentrators</t>
  </si>
  <si>
    <t>10 Concentrators</t>
  </si>
  <si>
    <t>4 Concentrators</t>
  </si>
  <si>
    <t>III. Tinh sạch Protein</t>
  </si>
  <si>
    <t>His-tagged (6xHis)
proteins</t>
  </si>
  <si>
    <t>GST-tagged
proteins</t>
  </si>
  <si>
    <t>Other epitope-tagged proteins</t>
  </si>
  <si>
    <t>IV. Phân tích SDS-PAGE và Wesstern Blot</t>
  </si>
  <si>
    <t>Tetra Electrophoresis Core Set</t>
  </si>
  <si>
    <t>1 Set</t>
  </si>
  <si>
    <t>Lõi điện di tương thích với máy Mini-PROTEAN Tetra Vertical Electrophoresis Cell</t>
  </si>
  <si>
    <t>Invitrogen™/ Thermo</t>
  </si>
  <si>
    <t>NP0321BOX</t>
  </si>
  <si>
    <t>NuPAGE™ 4 to 12%, Bis-Tris, 1.0 mm, Mini Protein Gel, 10-well, 10 gels (1 box)</t>
  </si>
  <si>
    <t>NP0322BOX</t>
  </si>
  <si>
    <t>NuPAGE™ 4 to 12%, Bis-Tris, 1.0 mm, Mini Protein Gel, 12-well, 10 gels (1 box)</t>
  </si>
  <si>
    <t>NP0323BOX</t>
  </si>
  <si>
    <t>NuPAGE™ 4 to 12%, Bis-Tris, 1.0 mm, Mini Protein Gel, 15-well, 10 gels (1 box)</t>
  </si>
  <si>
    <t>NP0329BOX</t>
  </si>
  <si>
    <t>NuPAGE™ 4 to 12%, Bis-Tris, 1.0 mm, Mini Protein Gel, 17-well, 10 gels (1 box)</t>
  </si>
  <si>
    <t>NP0327BOX</t>
  </si>
  <si>
    <t>NuPAGE™ 4 to 12%, Bis-Tris, 1.0 mm, Mini Protein Gel, 9-well, 10 gels (1 box)</t>
  </si>
  <si>
    <t>NP0335BOX</t>
  </si>
  <si>
    <t>NuPAGE™ 4 to 12%, Bis-Tris, 1.5 mm, Mini Protein Gel, 10-well, 10 gels (1 box)</t>
  </si>
  <si>
    <t>NP0336BOX</t>
  </si>
  <si>
    <t>NuPAGE™ 4 to 12%, Bis-Tris, 1.5 mm, Mini Protein Gel, 15-well, 10 gels (1 box)</t>
  </si>
  <si>
    <t>NP0324BOX</t>
  </si>
  <si>
    <t>NuPAGE™ 4 to 12%, Bis-Tris, 1.0 mm, Mini Protein Gel, 1-well, 10 gels (1 box)</t>
  </si>
  <si>
    <t>NP0301BOX</t>
  </si>
  <si>
    <t>NuPAGE™ 10%, Bis-Tris, 1.0 mm, Mini Protein Gel, 10-well, 10 gels (1 box)</t>
  </si>
  <si>
    <t>NP0302BOX</t>
  </si>
  <si>
    <t>NuPAGE™ 10%, Bis-Tris, 1.0 mm, Mini Protein Gel, 12-well, 10 gels (1 box)</t>
  </si>
  <si>
    <t>NP0303BOX</t>
  </si>
  <si>
    <t>NuPAGE™ 10%, Bis-Tris, 1.0 mm, Mini Protein Gel, 15-well, 10 gels (1 box)</t>
  </si>
  <si>
    <t>NP0307BOX</t>
  </si>
  <si>
    <t>NuPAGE™ 10%, Bis-Tris, 1.0 mm, Mini Protein Gel, 9-well, 10 gels (1 box)</t>
  </si>
  <si>
    <t>NP0315BOX</t>
  </si>
  <si>
    <t>NuPAGE™ 10%, Bis-Tris, 1.5 mm, Mini Protein Gel, 10-well, 10 gels (1 box)</t>
  </si>
  <si>
    <t>NP0316BOX</t>
  </si>
  <si>
    <t>NuPAGE™ 10%, Bis-Tris, 1.5 mm, Mini Protein Gel, 15-well, 10 gels (1 box)</t>
  </si>
  <si>
    <t>NP0341BOX</t>
  </si>
  <si>
    <t>NuPAGE™ 12%, Bis-Tris, 1.0 mm, Mini Protein Gel, 10-well, 10 Gels/Box</t>
  </si>
  <si>
    <t>NP0342BOX</t>
  </si>
  <si>
    <t>NuPAGE™ 12%, Bis-Tris, 1.0 mm, Mini Protein Gel, 12-well, 10 Gels/Box</t>
  </si>
  <si>
    <t>NP0343BOX</t>
  </si>
  <si>
    <t>NuPAGE™ 12%, Bis-Tris, 1.0 mm, Mini Protein Gel, 15-well, 10 Gels/Box</t>
  </si>
  <si>
    <t>NP0349BOX</t>
  </si>
  <si>
    <t>NuPAGE™ 12%, Bis-Tris, 1.0 mm, Mini Protein Gel, 17-well, 10 Gels/Box</t>
  </si>
  <si>
    <t>XP00100BOX</t>
  </si>
  <si>
    <t>Novex™ Tris-Glycine Mini Protein Gels, 10%, 1.0 mm, WedgeWell™ format, 10 gels (1 box)</t>
  </si>
  <si>
    <t>10 gels (1 box)</t>
  </si>
  <si>
    <t>XP00102BOX</t>
  </si>
  <si>
    <t>XP00105BOX</t>
  </si>
  <si>
    <t>XP10200BOX</t>
  </si>
  <si>
    <t>Novex™ Tris-Glycine Mini Protein Gels, 10–20%, 1.0 mm, WedgeWell™ format, 10 gels (1 box)</t>
  </si>
  <si>
    <t>XP10202BOX</t>
  </si>
  <si>
    <t>XP10205BOX</t>
  </si>
  <si>
    <t>XP00120BOX</t>
  </si>
  <si>
    <t>Novex™ Tris-Glycine Mini Protein Gels, 12%, 1.0 mm, WedgeWell™ format, 10 gels (1 box)</t>
  </si>
  <si>
    <t>XP00122BOX</t>
  </si>
  <si>
    <t>XP00125BOX</t>
  </si>
  <si>
    <t>XP00140BOX</t>
  </si>
  <si>
    <t>Novex™ Tris-Glycine Mini Protein Gels, 14%, 1.0 mm, WedgeWell™ format, 10 gels (1 box)</t>
  </si>
  <si>
    <t>XP00142BOX</t>
  </si>
  <si>
    <t>XP00145BOX</t>
  </si>
  <si>
    <t>XP00160BOX</t>
  </si>
  <si>
    <t>Novex™ Tris-Glycine Mini Protein Gels, 16%, 1.0 mm, WedgeWell™ format, 10 gels (1 box)</t>
  </si>
  <si>
    <t>XP00162BOX</t>
  </si>
  <si>
    <t>XP00165BOX</t>
  </si>
  <si>
    <t>XP04120BOX</t>
  </si>
  <si>
    <t>Novex™ Tris-Glycine Mini Protein Gels, 4–12%, 1.0 mm, WedgeWell™ format, 10 gels (1 box)</t>
  </si>
  <si>
    <t>XP04122BOX</t>
  </si>
  <si>
    <t>XP04125BOX</t>
  </si>
  <si>
    <t>XP04200BOX</t>
  </si>
  <si>
    <t>Novex™ Tris-Glycine Mini Protein Gels, 4–20%, 1.0 mm, WedgeWell™ format, 10 gels (1 box)</t>
  </si>
  <si>
    <t>XP04202BOX</t>
  </si>
  <si>
    <t>XP04205BOX</t>
  </si>
  <si>
    <t>XP00060BOX</t>
  </si>
  <si>
    <t>Novex™ Tris-Glycine Mini Protein Gels, 6%, 1.0 mm, WedgeWell™ format, 10 gels (1 box)</t>
  </si>
  <si>
    <t>XP00062BOX</t>
  </si>
  <si>
    <t>XP00065BOX</t>
  </si>
  <si>
    <t>XP00080BOX</t>
  </si>
  <si>
    <t>Novex™ Tris-Glycine Mini Protein Gels, 8%, 1.0 mm, WedgeWell™ format, 10 gels (1 box)</t>
  </si>
  <si>
    <t>XP00082BOX</t>
  </si>
  <si>
    <t>XP00085BOX</t>
  </si>
  <si>
    <t>XP08160BOX</t>
  </si>
  <si>
    <t>Novex™ Tris-Glycine Mini Protein Gels, 8–16%, 1.0 mm, WedgeWell™ format, 10 gels (1 box)</t>
  </si>
  <si>
    <t>XP08162BOX</t>
  </si>
  <si>
    <t>XP08165BOX</t>
  </si>
  <si>
    <t>Gel đúc sẵn, Bis-Tris</t>
  </si>
  <si>
    <t>Gel đúc sẵn, Tris-Glycine</t>
  </si>
  <si>
    <t xml:space="preserve">Novex™ Tris-Glycine SDS Running Buffer (10X) </t>
  </si>
  <si>
    <t>LC2675</t>
  </si>
  <si>
    <t xml:space="preserve">Novex™ Tris-Glycine Native Running Buffer (10X) </t>
  </si>
  <si>
    <t>LC2672</t>
  </si>
  <si>
    <t>Buffer Denaturing gel electrophoresis, Tris- Glycine</t>
  </si>
  <si>
    <t>Buffer Native gel electrophoresis, Tris- Glycine</t>
  </si>
  <si>
    <t>Buffer Wet transfer, Tris- Glycine</t>
  </si>
  <si>
    <t>LC3675</t>
  </si>
  <si>
    <t xml:space="preserve">Tris-Glycine Transfer Buffer (25X) </t>
  </si>
  <si>
    <t>1.1. Lõi điện di</t>
  </si>
  <si>
    <t>1.2. Gel đúc sẵn</t>
  </si>
  <si>
    <t>1.3. Buffer chạy Gel</t>
  </si>
  <si>
    <t>NP0001</t>
  </si>
  <si>
    <t>NuPAGE™ MOPS SDS Running Buffer</t>
  </si>
  <si>
    <t>NP0002</t>
  </si>
  <si>
    <t>NuPAGE™ MES SDS Running Buffer</t>
  </si>
  <si>
    <t>NP0006</t>
  </si>
  <si>
    <t>NuPAGE™ Transfer Buffer</t>
  </si>
  <si>
    <t>Resolve mid-size proteins, Bis-Tris</t>
  </si>
  <si>
    <t>Resolve small molecular weight proteins, Bis-Tris</t>
  </si>
  <si>
    <t>Wet transfer, Bis-Tris</t>
  </si>
  <si>
    <t>1.4. Protein Ladder</t>
  </si>
  <si>
    <t>Pre-Stained</t>
  </si>
  <si>
    <t>Unstained</t>
  </si>
  <si>
    <t>LC5615</t>
  </si>
  <si>
    <t>LC5602</t>
  </si>
  <si>
    <t>MagicMark™ XP Western Protein Standard</t>
  </si>
  <si>
    <t>2 x 250 μL</t>
  </si>
  <si>
    <t>PageRuler™ Prestained Protein Ladder, 10 to 180 kDa</t>
  </si>
  <si>
    <t>PageRuler™ Plus Prestained Protein Ladder, 10 to 250 kDa</t>
  </si>
  <si>
    <t>PageRuler™ Unstained Protein Ladder, 10 to 200 kDa</t>
  </si>
  <si>
    <t>PageRuler™ Unstained Broad Range Protein Ladder, 5 to 250kDa</t>
  </si>
  <si>
    <t xml:space="preserve">	2 x 250 μL</t>
  </si>
  <si>
    <t>iBright™ Prestained Protein Ladder, ten (11 to 250 kDa), two (30 kDa and 80 kDa)</t>
  </si>
  <si>
    <t>Gồm: mười protein (11 đến 250 kDa) được nhuộm xanh và đánh dấu huỳnh quang để hiển thị huỳnh quang trực tiếp và gần IR và định cỡ protein, và hai protein (30 kDa và 80 kDa) không nhuộm và chứa các vị trí liên kết IgG để liên kết với kháng thể sơ cấp và thứ cấp được sử dụng để phát hiện protein mục tiêu bằng phương pháp hóa phát quang và huỳnh quang (Western blot)</t>
  </si>
  <si>
    <t>Gồm: 9 protein tái tổ hợp (20–220 kDa), mỗi protein đều chứa một vị trí liên kết IgG. Vị trí liên kết IgG này liên kết với kháng thể chính hoặc kháng thể phụ được sử dụng để phát hiện protein mục tiêu, cho phép trực tiếp quan sát chuẩn trên Western blot</t>
  </si>
  <si>
    <t>1.5. Nhuộm gel Polyacryamide</t>
  </si>
  <si>
    <t>LC6065</t>
  </si>
  <si>
    <t>SimplyBlue™ SafeStain, 3.5 L</t>
  </si>
  <si>
    <t>Coomassie staining</t>
  </si>
  <si>
    <t>Pierce™ Silver Stain Kit</t>
  </si>
  <si>
    <t>1 L</t>
  </si>
  <si>
    <t>3.5 L</t>
  </si>
  <si>
    <t>Gói</t>
  </si>
  <si>
    <t>Silver Stain</t>
  </si>
  <si>
    <t>2. Western Blot - Định lượng</t>
  </si>
  <si>
    <t>1. Western Blot - Chuyển thẩm và phát hiện</t>
  </si>
  <si>
    <t xml:space="preserve">Micro BCA™ Protein Assay Kit </t>
  </si>
  <si>
    <t>Pierce™ Bradford Protein Assay Kit</t>
  </si>
  <si>
    <t>950 mL</t>
  </si>
  <si>
    <t>BCA method</t>
  </si>
  <si>
    <t>Bradford Method</t>
  </si>
  <si>
    <t>Định lượng protein bằng huỳnh quang</t>
  </si>
  <si>
    <t>V. Phân tích ELISA</t>
  </si>
  <si>
    <t>1. ELISA Kit</t>
  </si>
  <si>
    <t>Coated ELISA kits</t>
  </si>
  <si>
    <t>Rapid ELISA kits</t>
  </si>
  <si>
    <t>Instant ELISA kits</t>
  </si>
  <si>
    <t>Uncoated ELISA kits</t>
  </si>
  <si>
    <t>Matched antibody pair &amp; PeproTech development kits</t>
  </si>
  <si>
    <t>Xin thông tin target để tìm kit phù hợp</t>
  </si>
  <si>
    <t>Singleplex and Multiplex Bead Based Immunoassays</t>
  </si>
  <si>
    <t>Các xét nghiệm miễn dịch đơn giản, đa phức hợp, từ tính và tùy chỉnh của Luminex sử dụng các hạt phủ kháng thể và phương pháp ELISA để phát hiện và đo lường các chất cần phân tích. Lý tưởng cho nhiều ứng dụng nghiên cứu phân tử.
Xin thông tin target để tìm kit Luminex phù hợp</t>
  </si>
  <si>
    <t xml:space="preserve">2. LUMINEX - Protenin Assay - Invitrogen ProcartaPlex </t>
  </si>
  <si>
    <t>Cột KH có sẵn 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</si>
</sst>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1"/>
      <color theme="1"/>
      <name val="Calibri"/>
      <family val="2"/>
      <scheme val="minor"/>
    </font>
    <font>
      <sz val="10"/>
      <color rgb="FFFFFFFF"/>
      <name val="Times New Roman"/>
      <family val="2"/>
    </font>
    <font>
      <i/>
      <sz val="11"/>
      <color rgb="FF000000"/>
      <name val="Times New Roman"/>
      <family val="2"/>
    </font>
    <font>
      <b/>
      <sz val="11"/>
      <color rgb="FF000000"/>
      <name val="Times New Roman"/>
      <family val="2"/>
    </font>
    <font>
      <b/>
      <sz val="10"/>
      <color rgb="FF000000"/>
      <name val="Times New Roman"/>
      <family val="2"/>
    </font>
    <font>
      <sz val="10"/>
      <color rgb="FF000000"/>
      <name val="Times New Roman"/>
      <family val="2"/>
    </font>
    <font>
      <sz val="11"/>
      <color theme="1"/>
      <name val="Calibri"/>
      <family val="2"/>
      <scheme val="minor"/>
    </font>
    <font>
      <sz val="11"/>
      <color rgb="FF000000"/>
      <name val="Times New Roman"/>
      <family val="1"/>
    </font>
    <font>
      <b/>
      <sz val="11"/>
      <color rgb="FF000000"/>
      <name val="Times New Roman"/>
      <family val="1"/>
    </font>
    <font>
      <sz val="8"/>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8">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38">
    <xf numFmtId="0" fontId="0" fillId="0" borderId="0" xfId="0" applyFont="1"/>
    <xf numFmtId="0" fontId="5" fillId="2" borderId="0" xfId="0" applyNumberFormat="1" applyFont="1" applyFill="1" applyBorder="1" applyAlignment="1" applyProtection="1">
      <alignment horizontal="left" vertical="top"/>
    </xf>
    <xf numFmtId="0" fontId="5" fillId="2" borderId="2" xfId="0" applyNumberFormat="1" applyFont="1" applyFill="1" applyBorder="1" applyAlignment="1" applyProtection="1">
      <alignment horizontal="left" vertical="top"/>
    </xf>
    <xf numFmtId="0" fontId="4" fillId="3" borderId="2" xfId="0" applyNumberFormat="1" applyFont="1" applyFill="1" applyBorder="1" applyAlignment="1" applyProtection="1">
      <alignment horizontal="center" vertical="center" wrapText="1"/>
    </xf>
    <xf numFmtId="0" fontId="4"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center" vertical="center" wrapText="1"/>
    </xf>
    <xf numFmtId="0" fontId="3" fillId="2" borderId="3"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top"/>
    </xf>
    <xf numFmtId="0" fontId="3" fillId="2" borderId="3" xfId="0" applyNumberFormat="1" applyFont="1" applyFill="1" applyBorder="1" applyAlignment="1" applyProtection="1">
      <alignment horizontal="center" vertical="center" wrapText="1"/>
    </xf>
    <xf numFmtId="0" fontId="5" fillId="2" borderId="3" xfId="0" applyNumberFormat="1" applyFont="1" applyFill="1" applyBorder="1" applyAlignment="1" applyProtection="1">
      <alignment horizontal="left" vertical="top"/>
    </xf>
    <xf numFmtId="0" fontId="7" fillId="2" borderId="3" xfId="0" applyNumberFormat="1" applyFont="1" applyFill="1" applyBorder="1" applyAlignment="1" applyProtection="1">
      <alignment horizontal="center" vertical="center" wrapText="1"/>
    </xf>
    <xf numFmtId="0" fontId="3" fillId="2" borderId="3" xfId="0" applyNumberFormat="1" applyFont="1" applyFill="1" applyBorder="1" applyAlignment="1" applyProtection="1">
      <alignment horizontal="left" vertical="center"/>
    </xf>
    <xf numFmtId="0" fontId="7" fillId="2" borderId="3" xfId="0" applyNumberFormat="1" applyFont="1" applyFill="1" applyBorder="1" applyAlignment="1" applyProtection="1">
      <alignment horizontal="left" vertical="center" wrapText="1"/>
    </xf>
    <xf numFmtId="4" fontId="7" fillId="2" borderId="3" xfId="0" applyNumberFormat="1" applyFont="1" applyFill="1" applyBorder="1" applyAlignment="1" applyProtection="1">
      <alignment horizontal="center" vertical="center" wrapText="1"/>
    </xf>
    <xf numFmtId="0" fontId="8" fillId="2" borderId="3" xfId="0" applyNumberFormat="1" applyFont="1" applyFill="1" applyBorder="1" applyAlignment="1" applyProtection="1">
      <alignment horizontal="left" vertical="center"/>
    </xf>
    <xf numFmtId="0" fontId="7" fillId="2" borderId="2" xfId="0" applyNumberFormat="1" applyFont="1" applyFill="1" applyBorder="1" applyAlignment="1" applyProtection="1">
      <alignment horizontal="left" vertical="center" wrapText="1"/>
    </xf>
    <xf numFmtId="0" fontId="7" fillId="2" borderId="4" xfId="0" applyNumberFormat="1" applyFont="1" applyFill="1" applyBorder="1" applyAlignment="1" applyProtection="1">
      <alignment vertical="center" wrapText="1"/>
    </xf>
    <xf numFmtId="0" fontId="0" fillId="0" borderId="7" xfId="0" applyFont="1" applyBorder="1"/>
    <xf numFmtId="164" fontId="7" fillId="2" borderId="3" xfId="1" applyNumberFormat="1" applyFont="1" applyFill="1" applyBorder="1" applyAlignment="1" applyProtection="1">
      <alignment horizontal="center" vertical="center" wrapText="1"/>
    </xf>
    <xf numFmtId="3" fontId="4" fillId="3" borderId="1" xfId="0" applyNumberFormat="1" applyFont="1" applyFill="1" applyBorder="1" applyAlignment="1" applyProtection="1">
      <alignment horizontal="center" vertical="center" wrapText="1"/>
    </xf>
    <xf numFmtId="3" fontId="3" fillId="2" borderId="3" xfId="0" applyNumberFormat="1" applyFont="1" applyFill="1" applyBorder="1" applyAlignment="1" applyProtection="1">
      <alignment horizontal="center" vertical="center" wrapText="1"/>
    </xf>
    <xf numFmtId="3" fontId="7" fillId="2" borderId="3" xfId="0" applyNumberFormat="1" applyFont="1" applyFill="1" applyBorder="1" applyAlignment="1" applyProtection="1">
      <alignment horizontal="center" vertical="center" wrapText="1"/>
    </xf>
    <xf numFmtId="3" fontId="0" fillId="0" borderId="7" xfId="0" applyNumberFormat="1" applyFont="1" applyBorder="1"/>
    <xf numFmtId="3" fontId="7" fillId="2" borderId="3" xfId="1" applyNumberFormat="1" applyFont="1" applyFill="1" applyBorder="1" applyAlignment="1" applyProtection="1">
      <alignment horizontal="center" vertical="center" wrapText="1"/>
    </xf>
    <xf numFmtId="3" fontId="5" fillId="2" borderId="0" xfId="0" applyNumberFormat="1" applyFont="1" applyFill="1" applyBorder="1" applyAlignment="1" applyProtection="1">
      <alignment horizontal="left" vertical="top"/>
    </xf>
    <xf numFmtId="3" fontId="0" fillId="0" borderId="0" xfId="0" applyNumberFormat="1" applyFont="1"/>
    <xf numFmtId="0" fontId="7" fillId="2" borderId="7" xfId="0" applyNumberFormat="1" applyFont="1" applyFill="1" applyBorder="1" applyAlignment="1" applyProtection="1">
      <alignment vertical="center" wrapText="1"/>
    </xf>
    <xf numFmtId="0" fontId="7" fillId="2" borderId="4" xfId="0" applyNumberFormat="1" applyFont="1" applyFill="1" applyBorder="1" applyAlignment="1" applyProtection="1">
      <alignment horizontal="center" vertical="center" wrapText="1"/>
    </xf>
    <xf numFmtId="0" fontId="7" fillId="2" borderId="6" xfId="0" applyNumberFormat="1" applyFont="1" applyFill="1" applyBorder="1" applyAlignment="1" applyProtection="1">
      <alignment horizontal="center" vertical="center" wrapText="1"/>
    </xf>
    <xf numFmtId="0" fontId="7" fillId="2" borderId="5" xfId="0" applyNumberFormat="1" applyFont="1" applyFill="1" applyBorder="1" applyAlignment="1" applyProtection="1">
      <alignment horizontal="center" vertical="center" wrapText="1"/>
    </xf>
    <xf numFmtId="0" fontId="7" fillId="2" borderId="4" xfId="0" applyNumberFormat="1" applyFont="1" applyFill="1" applyBorder="1" applyAlignment="1" applyProtection="1">
      <alignment horizontal="left" vertical="center" wrapText="1"/>
    </xf>
    <xf numFmtId="0" fontId="7" fillId="2" borderId="5" xfId="0" applyNumberFormat="1" applyFont="1" applyFill="1" applyBorder="1" applyAlignment="1" applyProtection="1">
      <alignment horizontal="left" vertical="center" wrapText="1"/>
    </xf>
    <xf numFmtId="0" fontId="7" fillId="2" borderId="6" xfId="0" applyNumberFormat="1" applyFont="1" applyFill="1" applyBorder="1" applyAlignment="1" applyProtection="1">
      <alignment horizontal="left" vertical="center" wrapText="1"/>
    </xf>
    <xf numFmtId="0" fontId="7" fillId="2" borderId="7" xfId="0" applyNumberFormat="1" applyFont="1" applyFill="1" applyBorder="1" applyAlignment="1" applyProtection="1">
      <alignment horizontal="center" vertical="center" wrapText="1"/>
    </xf>
    <xf numFmtId="0" fontId="3" fillId="2" borderId="3"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50"/>
  <sheetViews>
    <sheetView showGridLines="0" showZeros="0" tabSelected="1" workbookViewId="0">
      <selection activeCell="D5" sqref="D5:D6"/>
    </sheetView>
  </sheetViews>
  <sheetFormatPr defaultRowHeight="15" x14ac:dyDescent="0.25"/>
  <cols>
    <col min="1" max="1" width="0.28515625"/>
    <col min="2" max="2" width="4"/>
    <col min="3" max="3" width="13.7109375" customWidth="1"/>
    <col min="4" max="4" width="20.28515625" customWidth="1"/>
    <col min="5" max="5" width="13.85546875" customWidth="1"/>
    <col min="6" max="6" width="14.140625" customWidth="1"/>
    <col min="7" max="7" width="6.85546875"/>
    <col min="8" max="8" width="5.140625"/>
    <col min="9" max="9" width="9.85546875" style="25" bestFit="1" customWidth="1"/>
    <col min="10" max="10" width="13.7109375" bestFit="1" customWidth="1"/>
    <col min="11" max="11" width="32.28515625" customWidth="1"/>
  </cols>
  <sheetData>
    <row r="1" spans="1:11" ht="0.75" customHeight="1" x14ac:dyDescent="0.25">
      <c r="A1" s="3"/>
      <c r="B1" s="4"/>
      <c r="C1" s="4"/>
      <c r="D1" s="4"/>
      <c r="E1" s="4"/>
      <c r="F1" s="4"/>
      <c r="G1" s="4"/>
      <c r="H1" s="4"/>
      <c r="I1" s="19"/>
      <c r="J1" s="4"/>
      <c r="K1" s="4"/>
    </row>
    <row r="2" spans="1:11" ht="42" customHeight="1" x14ac:dyDescent="0.25">
      <c r="A2" s="5"/>
      <c r="B2" s="6" t="s">
        <v>0</v>
      </c>
      <c r="C2" s="6" t="s">
        <v>1</v>
      </c>
      <c r="D2" s="6" t="s">
        <v>2</v>
      </c>
      <c r="E2" s="6" t="s">
        <v>3</v>
      </c>
      <c r="F2" s="6" t="s">
        <v>4</v>
      </c>
      <c r="G2" s="6" t="s">
        <v>5</v>
      </c>
      <c r="H2" s="6" t="s">
        <v>6</v>
      </c>
      <c r="I2" s="20" t="s">
        <v>7</v>
      </c>
      <c r="J2" s="6" t="s">
        <v>8</v>
      </c>
      <c r="K2" s="8" t="s">
        <v>9</v>
      </c>
    </row>
    <row r="3" spans="1:11" x14ac:dyDescent="0.25">
      <c r="A3" s="5"/>
      <c r="B3" s="11" t="s">
        <v>17</v>
      </c>
      <c r="C3" s="8"/>
      <c r="D3" s="8"/>
      <c r="E3" s="8"/>
      <c r="F3" s="8"/>
      <c r="G3" s="8"/>
      <c r="H3" s="8"/>
      <c r="I3" s="20"/>
      <c r="J3" s="8"/>
      <c r="K3" s="8"/>
    </row>
    <row r="4" spans="1:11" x14ac:dyDescent="0.25">
      <c r="A4" s="5"/>
      <c r="B4" s="11" t="s">
        <v>26</v>
      </c>
      <c r="C4" s="8"/>
      <c r="D4" s="8"/>
      <c r="E4" s="8"/>
      <c r="F4" s="8"/>
      <c r="G4" s="8"/>
      <c r="H4" s="8"/>
      <c r="I4" s="20"/>
      <c r="J4" s="8"/>
      <c r="K4" s="8"/>
    </row>
    <row r="5" spans="1:11" ht="54.75" customHeight="1" x14ac:dyDescent="0.25">
      <c r="A5" s="5"/>
      <c r="B5" s="10">
        <v>1</v>
      </c>
      <c r="C5" s="10">
        <v>89821</v>
      </c>
      <c r="D5" s="27" t="s">
        <v>13</v>
      </c>
      <c r="E5" s="10" t="s">
        <v>14</v>
      </c>
      <c r="F5" s="10" t="s">
        <v>15</v>
      </c>
      <c r="G5" s="10" t="s">
        <v>16</v>
      </c>
      <c r="H5" s="10">
        <v>1</v>
      </c>
      <c r="I5" s="21">
        <v>15240000</v>
      </c>
      <c r="J5" s="18">
        <f>I5*H5</f>
        <v>15240000</v>
      </c>
      <c r="K5" s="30" t="s">
        <v>19</v>
      </c>
    </row>
    <row r="6" spans="1:11" ht="67.5" customHeight="1" x14ac:dyDescent="0.25">
      <c r="A6" s="5"/>
      <c r="B6" s="10">
        <v>2</v>
      </c>
      <c r="C6" s="10">
        <v>89822</v>
      </c>
      <c r="D6" s="29"/>
      <c r="E6" s="10" t="s">
        <v>14</v>
      </c>
      <c r="F6" s="10" t="s">
        <v>18</v>
      </c>
      <c r="G6" s="10" t="s">
        <v>16</v>
      </c>
      <c r="H6" s="10">
        <v>1</v>
      </c>
      <c r="I6" s="21">
        <v>27620000</v>
      </c>
      <c r="J6" s="18">
        <f t="shared" ref="J6:J11" si="0">I6*H6</f>
        <v>27620000</v>
      </c>
      <c r="K6" s="31"/>
    </row>
    <row r="7" spans="1:11" ht="30" x14ac:dyDescent="0.25">
      <c r="A7" s="5"/>
      <c r="B7" s="10">
        <v>3</v>
      </c>
      <c r="C7" s="10">
        <v>90084</v>
      </c>
      <c r="D7" s="27" t="s">
        <v>20</v>
      </c>
      <c r="E7" s="10" t="s">
        <v>14</v>
      </c>
      <c r="F7" s="10" t="s">
        <v>15</v>
      </c>
      <c r="G7" s="10" t="s">
        <v>16</v>
      </c>
      <c r="H7" s="10">
        <v>1</v>
      </c>
      <c r="I7" s="21">
        <v>10860000</v>
      </c>
      <c r="J7" s="18">
        <f t="shared" si="0"/>
        <v>10860000</v>
      </c>
      <c r="K7" s="30" t="s">
        <v>22</v>
      </c>
    </row>
    <row r="8" spans="1:11" ht="30" x14ac:dyDescent="0.25">
      <c r="A8" s="5"/>
      <c r="B8" s="10">
        <v>4</v>
      </c>
      <c r="C8" s="10">
        <v>78243</v>
      </c>
      <c r="D8" s="28"/>
      <c r="E8" s="10" t="s">
        <v>14</v>
      </c>
      <c r="F8" s="10" t="s">
        <v>21</v>
      </c>
      <c r="G8" s="10" t="s">
        <v>16</v>
      </c>
      <c r="H8" s="10">
        <v>1</v>
      </c>
      <c r="I8" s="21">
        <v>8710000</v>
      </c>
      <c r="J8" s="18">
        <f t="shared" si="0"/>
        <v>8710000</v>
      </c>
      <c r="K8" s="32"/>
    </row>
    <row r="9" spans="1:11" ht="30" x14ac:dyDescent="0.25">
      <c r="A9" s="5"/>
      <c r="B9" s="10">
        <v>5</v>
      </c>
      <c r="C9" s="10">
        <v>78248</v>
      </c>
      <c r="D9" s="29"/>
      <c r="E9" s="10" t="s">
        <v>14</v>
      </c>
      <c r="F9" s="10" t="s">
        <v>18</v>
      </c>
      <c r="G9" s="10" t="s">
        <v>16</v>
      </c>
      <c r="H9" s="10">
        <v>1</v>
      </c>
      <c r="I9" s="21">
        <v>15420000</v>
      </c>
      <c r="J9" s="18">
        <f t="shared" si="0"/>
        <v>15420000</v>
      </c>
      <c r="K9" s="31"/>
    </row>
    <row r="10" spans="1:11" ht="75" x14ac:dyDescent="0.25">
      <c r="A10" s="5"/>
      <c r="B10" s="10">
        <v>6</v>
      </c>
      <c r="C10" s="10">
        <v>78260</v>
      </c>
      <c r="D10" s="10" t="s">
        <v>23</v>
      </c>
      <c r="E10" s="10" t="s">
        <v>14</v>
      </c>
      <c r="F10" s="10" t="s">
        <v>15</v>
      </c>
      <c r="G10" s="10" t="s">
        <v>16</v>
      </c>
      <c r="H10" s="10">
        <v>1</v>
      </c>
      <c r="I10" s="21">
        <v>16060000</v>
      </c>
      <c r="J10" s="18">
        <f t="shared" si="0"/>
        <v>16060000</v>
      </c>
      <c r="K10" s="12" t="s">
        <v>24</v>
      </c>
    </row>
    <row r="11" spans="1:11" ht="75" x14ac:dyDescent="0.25">
      <c r="A11" s="5"/>
      <c r="B11" s="10">
        <v>7</v>
      </c>
      <c r="C11" s="10">
        <v>78266</v>
      </c>
      <c r="D11" s="10" t="s">
        <v>25</v>
      </c>
      <c r="E11" s="10" t="s">
        <v>14</v>
      </c>
      <c r="F11" s="10" t="s">
        <v>18</v>
      </c>
      <c r="G11" s="10" t="s">
        <v>16</v>
      </c>
      <c r="H11" s="10">
        <v>1</v>
      </c>
      <c r="I11" s="21">
        <v>16060000</v>
      </c>
      <c r="J11" s="18">
        <f t="shared" si="0"/>
        <v>16060000</v>
      </c>
      <c r="K11" s="12" t="s">
        <v>27</v>
      </c>
    </row>
    <row r="12" spans="1:11" x14ac:dyDescent="0.25">
      <c r="A12" s="5"/>
      <c r="B12" s="14" t="s">
        <v>28</v>
      </c>
      <c r="C12" s="10"/>
      <c r="D12" s="10"/>
      <c r="E12" s="10"/>
      <c r="F12" s="10"/>
      <c r="G12" s="10"/>
      <c r="H12" s="10"/>
      <c r="I12" s="21"/>
      <c r="J12" s="10"/>
      <c r="K12" s="12"/>
    </row>
    <row r="13" spans="1:11" x14ac:dyDescent="0.25">
      <c r="A13" s="5"/>
      <c r="B13" s="14" t="s">
        <v>45</v>
      </c>
      <c r="C13" s="10"/>
      <c r="D13" s="10"/>
      <c r="E13" s="10"/>
      <c r="F13" s="10"/>
      <c r="G13" s="10"/>
      <c r="H13" s="10"/>
      <c r="I13" s="21"/>
      <c r="J13" s="10"/>
      <c r="K13" s="15"/>
    </row>
    <row r="14" spans="1:11" ht="45" x14ac:dyDescent="0.25">
      <c r="A14" s="5"/>
      <c r="B14" s="10"/>
      <c r="C14" s="10">
        <v>85124</v>
      </c>
      <c r="D14" s="10" t="s">
        <v>29</v>
      </c>
      <c r="E14" s="10" t="s">
        <v>14</v>
      </c>
      <c r="F14" s="10" t="s">
        <v>50</v>
      </c>
      <c r="G14" s="10" t="s">
        <v>16</v>
      </c>
      <c r="H14" s="10">
        <v>1</v>
      </c>
      <c r="I14" s="21">
        <v>6560000</v>
      </c>
      <c r="J14" s="18">
        <f t="shared" ref="J14:J61" si="1">I14*H14</f>
        <v>6560000</v>
      </c>
      <c r="K14" s="33" t="s">
        <v>46</v>
      </c>
    </row>
    <row r="15" spans="1:11" ht="45" x14ac:dyDescent="0.25">
      <c r="A15" s="5"/>
      <c r="B15" s="10"/>
      <c r="C15" s="10">
        <v>85125</v>
      </c>
      <c r="D15" s="10" t="s">
        <v>30</v>
      </c>
      <c r="E15" s="10" t="s">
        <v>14</v>
      </c>
      <c r="F15" s="10" t="s">
        <v>18</v>
      </c>
      <c r="G15" s="10" t="s">
        <v>16</v>
      </c>
      <c r="H15" s="10">
        <v>1</v>
      </c>
      <c r="I15" s="21">
        <v>37730000</v>
      </c>
      <c r="J15" s="18">
        <f t="shared" si="1"/>
        <v>37730000</v>
      </c>
      <c r="K15" s="33"/>
    </row>
    <row r="16" spans="1:11" ht="60" x14ac:dyDescent="0.25">
      <c r="A16" s="5"/>
      <c r="B16" s="10"/>
      <c r="C16" s="10">
        <v>28314</v>
      </c>
      <c r="D16" s="10" t="s">
        <v>31</v>
      </c>
      <c r="E16" s="10" t="s">
        <v>14</v>
      </c>
      <c r="F16" s="10" t="s">
        <v>51</v>
      </c>
      <c r="G16" s="10" t="s">
        <v>16</v>
      </c>
      <c r="H16" s="10">
        <v>1</v>
      </c>
      <c r="I16" s="21">
        <v>6270000</v>
      </c>
      <c r="J16" s="18">
        <f t="shared" si="1"/>
        <v>6270000</v>
      </c>
      <c r="K16" s="33" t="s">
        <v>47</v>
      </c>
    </row>
    <row r="17" spans="1:11" ht="60" x14ac:dyDescent="0.25">
      <c r="A17" s="5"/>
      <c r="B17" s="10"/>
      <c r="C17" s="10">
        <v>85111</v>
      </c>
      <c r="D17" s="10" t="s">
        <v>32</v>
      </c>
      <c r="E17" s="10" t="s">
        <v>14</v>
      </c>
      <c r="F17" s="10" t="s">
        <v>50</v>
      </c>
      <c r="G17" s="10" t="s">
        <v>16</v>
      </c>
      <c r="H17" s="10">
        <v>1</v>
      </c>
      <c r="I17" s="21">
        <v>4950000</v>
      </c>
      <c r="J17" s="18">
        <f t="shared" si="1"/>
        <v>4950000</v>
      </c>
      <c r="K17" s="33"/>
    </row>
    <row r="18" spans="1:11" ht="60" x14ac:dyDescent="0.25">
      <c r="A18" s="5"/>
      <c r="B18" s="10"/>
      <c r="C18" s="10">
        <v>85112</v>
      </c>
      <c r="D18" s="10" t="s">
        <v>33</v>
      </c>
      <c r="E18" s="10" t="s">
        <v>14</v>
      </c>
      <c r="F18" s="10" t="s">
        <v>15</v>
      </c>
      <c r="G18" s="10" t="s">
        <v>16</v>
      </c>
      <c r="H18" s="10">
        <v>1</v>
      </c>
      <c r="I18" s="21">
        <v>20130000</v>
      </c>
      <c r="J18" s="18">
        <f t="shared" si="1"/>
        <v>20130000</v>
      </c>
      <c r="K18" s="33"/>
    </row>
    <row r="19" spans="1:11" ht="45" x14ac:dyDescent="0.25">
      <c r="A19" s="5"/>
      <c r="B19" s="10"/>
      <c r="C19" s="10">
        <v>28332</v>
      </c>
      <c r="D19" s="10" t="s">
        <v>34</v>
      </c>
      <c r="E19" s="10" t="s">
        <v>14</v>
      </c>
      <c r="F19" s="10" t="s">
        <v>64</v>
      </c>
      <c r="G19" s="10" t="s">
        <v>16</v>
      </c>
      <c r="H19" s="10">
        <v>1</v>
      </c>
      <c r="I19" s="21">
        <v>13930000</v>
      </c>
      <c r="J19" s="18">
        <f t="shared" si="1"/>
        <v>13930000</v>
      </c>
      <c r="K19" s="33"/>
    </row>
    <row r="20" spans="1:11" ht="45" x14ac:dyDescent="0.25">
      <c r="A20" s="5"/>
      <c r="B20" s="10"/>
      <c r="C20" s="10">
        <v>28320</v>
      </c>
      <c r="D20" s="10" t="s">
        <v>35</v>
      </c>
      <c r="E20" s="10" t="s">
        <v>14</v>
      </c>
      <c r="F20" s="10" t="s">
        <v>64</v>
      </c>
      <c r="G20" s="10" t="s">
        <v>16</v>
      </c>
      <c r="H20" s="10">
        <v>1</v>
      </c>
      <c r="I20" s="21">
        <v>6270000</v>
      </c>
      <c r="J20" s="18">
        <f t="shared" si="1"/>
        <v>6270000</v>
      </c>
      <c r="K20" s="33" t="s">
        <v>48</v>
      </c>
    </row>
    <row r="21" spans="1:11" ht="45" x14ac:dyDescent="0.25">
      <c r="A21" s="5"/>
      <c r="B21" s="10"/>
      <c r="C21" s="10">
        <v>85113</v>
      </c>
      <c r="D21" s="10" t="s">
        <v>36</v>
      </c>
      <c r="E21" s="10" t="s">
        <v>14</v>
      </c>
      <c r="F21" s="10" t="s">
        <v>52</v>
      </c>
      <c r="G21" s="10" t="s">
        <v>16</v>
      </c>
      <c r="H21" s="10">
        <v>1</v>
      </c>
      <c r="I21" s="21">
        <v>6040000</v>
      </c>
      <c r="J21" s="18">
        <f t="shared" si="1"/>
        <v>6040000</v>
      </c>
      <c r="K21" s="33"/>
    </row>
    <row r="22" spans="1:11" ht="45" x14ac:dyDescent="0.25">
      <c r="A22" s="5"/>
      <c r="B22" s="10"/>
      <c r="C22" s="10">
        <v>85115</v>
      </c>
      <c r="D22" s="10" t="s">
        <v>37</v>
      </c>
      <c r="E22" s="10" t="s">
        <v>14</v>
      </c>
      <c r="F22" s="10" t="s">
        <v>18</v>
      </c>
      <c r="G22" s="10" t="s">
        <v>16</v>
      </c>
      <c r="H22" s="10">
        <v>1</v>
      </c>
      <c r="I22" s="21">
        <v>42280000</v>
      </c>
      <c r="J22" s="18">
        <f t="shared" si="1"/>
        <v>42280000</v>
      </c>
      <c r="K22" s="33"/>
    </row>
    <row r="23" spans="1:11" ht="45" x14ac:dyDescent="0.25">
      <c r="A23" s="5"/>
      <c r="B23" s="10"/>
      <c r="C23" s="10">
        <v>28328</v>
      </c>
      <c r="D23" s="10" t="s">
        <v>38</v>
      </c>
      <c r="E23" s="10" t="s">
        <v>14</v>
      </c>
      <c r="F23" s="10" t="s">
        <v>64</v>
      </c>
      <c r="G23" s="10" t="s">
        <v>16</v>
      </c>
      <c r="H23" s="10">
        <v>1</v>
      </c>
      <c r="I23" s="21">
        <v>6270000</v>
      </c>
      <c r="J23" s="18">
        <f t="shared" si="1"/>
        <v>6270000</v>
      </c>
      <c r="K23" s="33"/>
    </row>
    <row r="24" spans="1:11" ht="45" x14ac:dyDescent="0.25">
      <c r="A24" s="5"/>
      <c r="B24" s="10"/>
      <c r="C24" s="10">
        <v>28329</v>
      </c>
      <c r="D24" s="10" t="s">
        <v>39</v>
      </c>
      <c r="E24" s="10" t="s">
        <v>14</v>
      </c>
      <c r="F24" s="10" t="s">
        <v>50</v>
      </c>
      <c r="G24" s="10" t="s">
        <v>16</v>
      </c>
      <c r="H24" s="10">
        <v>1</v>
      </c>
      <c r="I24" s="21">
        <v>6040000</v>
      </c>
      <c r="J24" s="18">
        <f t="shared" si="1"/>
        <v>6040000</v>
      </c>
      <c r="K24" s="33"/>
    </row>
    <row r="25" spans="1:11" ht="45" x14ac:dyDescent="0.25">
      <c r="A25" s="5"/>
      <c r="B25" s="10"/>
      <c r="C25" s="10">
        <v>28230</v>
      </c>
      <c r="D25" s="10" t="s">
        <v>40</v>
      </c>
      <c r="E25" s="10" t="s">
        <v>14</v>
      </c>
      <c r="F25" s="10" t="s">
        <v>18</v>
      </c>
      <c r="G25" s="10" t="s">
        <v>16</v>
      </c>
      <c r="H25" s="10">
        <v>1</v>
      </c>
      <c r="I25" s="21">
        <v>41410000</v>
      </c>
      <c r="J25" s="18">
        <f t="shared" si="1"/>
        <v>41410000</v>
      </c>
      <c r="K25" s="33"/>
    </row>
    <row r="26" spans="1:11" ht="45" x14ac:dyDescent="0.25">
      <c r="A26" s="5"/>
      <c r="B26" s="10"/>
      <c r="C26" s="10">
        <v>28316</v>
      </c>
      <c r="D26" s="10" t="s">
        <v>41</v>
      </c>
      <c r="E26" s="10" t="s">
        <v>14</v>
      </c>
      <c r="F26" s="10" t="s">
        <v>64</v>
      </c>
      <c r="G26" s="10" t="s">
        <v>16</v>
      </c>
      <c r="H26" s="10">
        <v>1</v>
      </c>
      <c r="I26" s="21">
        <v>6260000</v>
      </c>
      <c r="J26" s="18">
        <f t="shared" si="1"/>
        <v>6260000</v>
      </c>
      <c r="K26" s="33" t="s">
        <v>49</v>
      </c>
    </row>
    <row r="27" spans="1:11" ht="45" x14ac:dyDescent="0.25">
      <c r="A27" s="5"/>
      <c r="B27" s="10"/>
      <c r="C27" s="10">
        <v>85117</v>
      </c>
      <c r="D27" s="10" t="s">
        <v>42</v>
      </c>
      <c r="E27" s="10" t="s">
        <v>14</v>
      </c>
      <c r="F27" s="10" t="s">
        <v>50</v>
      </c>
      <c r="G27" s="10" t="s">
        <v>16</v>
      </c>
      <c r="H27" s="10">
        <v>1</v>
      </c>
      <c r="I27" s="21">
        <v>6550000</v>
      </c>
      <c r="J27" s="18">
        <f t="shared" si="1"/>
        <v>6550000</v>
      </c>
      <c r="K27" s="33"/>
    </row>
    <row r="28" spans="1:11" ht="45" x14ac:dyDescent="0.25">
      <c r="A28" s="5"/>
      <c r="B28" s="10"/>
      <c r="C28" s="10">
        <v>85118</v>
      </c>
      <c r="D28" s="10" t="s">
        <v>43</v>
      </c>
      <c r="E28" s="10" t="s">
        <v>14</v>
      </c>
      <c r="F28" s="10" t="s">
        <v>18</v>
      </c>
      <c r="G28" s="10" t="s">
        <v>16</v>
      </c>
      <c r="H28" s="10">
        <v>1</v>
      </c>
      <c r="I28" s="21">
        <v>36580000</v>
      </c>
      <c r="J28" s="18">
        <f t="shared" si="1"/>
        <v>36580000</v>
      </c>
      <c r="K28" s="33"/>
    </row>
    <row r="29" spans="1:11" ht="45" x14ac:dyDescent="0.25">
      <c r="A29" s="5"/>
      <c r="B29" s="10"/>
      <c r="C29" s="10">
        <v>28336</v>
      </c>
      <c r="D29" s="10" t="s">
        <v>44</v>
      </c>
      <c r="E29" s="10" t="s">
        <v>14</v>
      </c>
      <c r="F29" s="10" t="s">
        <v>64</v>
      </c>
      <c r="G29" s="10" t="s">
        <v>16</v>
      </c>
      <c r="H29" s="10">
        <v>1</v>
      </c>
      <c r="I29" s="21">
        <v>10840000</v>
      </c>
      <c r="J29" s="18">
        <f t="shared" si="1"/>
        <v>10840000</v>
      </c>
      <c r="K29" s="33"/>
    </row>
    <row r="30" spans="1:11" x14ac:dyDescent="0.25">
      <c r="A30" s="5"/>
      <c r="B30" s="14" t="s">
        <v>56</v>
      </c>
      <c r="C30" s="10"/>
      <c r="D30" s="10"/>
      <c r="E30" s="10"/>
      <c r="F30" s="10"/>
      <c r="G30" s="10"/>
      <c r="H30" s="10"/>
      <c r="I30" s="21"/>
      <c r="J30" s="18">
        <f t="shared" si="1"/>
        <v>0</v>
      </c>
      <c r="K30" s="12"/>
    </row>
    <row r="31" spans="1:11" ht="75" x14ac:dyDescent="0.25">
      <c r="A31" s="5"/>
      <c r="B31" s="10"/>
      <c r="C31" s="10">
        <v>28364</v>
      </c>
      <c r="D31" s="10" t="s">
        <v>53</v>
      </c>
      <c r="E31" s="10" t="s">
        <v>14</v>
      </c>
      <c r="F31" s="10" t="s">
        <v>65</v>
      </c>
      <c r="G31" s="10" t="s">
        <v>16</v>
      </c>
      <c r="H31" s="10">
        <v>1</v>
      </c>
      <c r="I31" s="21">
        <v>4980000</v>
      </c>
      <c r="J31" s="18">
        <f t="shared" si="1"/>
        <v>4980000</v>
      </c>
      <c r="K31" s="12" t="s">
        <v>57</v>
      </c>
    </row>
    <row r="32" spans="1:11" ht="60" x14ac:dyDescent="0.25">
      <c r="A32" s="5"/>
      <c r="B32" s="10"/>
      <c r="C32" s="10">
        <v>28312</v>
      </c>
      <c r="D32" s="10" t="s">
        <v>54</v>
      </c>
      <c r="E32" s="10" t="s">
        <v>14</v>
      </c>
      <c r="F32" s="10" t="s">
        <v>67</v>
      </c>
      <c r="G32" s="10" t="s">
        <v>16</v>
      </c>
      <c r="H32" s="10">
        <v>1</v>
      </c>
      <c r="I32" s="21">
        <v>13260000</v>
      </c>
      <c r="J32" s="18">
        <f t="shared" si="1"/>
        <v>13260000</v>
      </c>
      <c r="K32" s="12" t="s">
        <v>58</v>
      </c>
    </row>
    <row r="33" spans="1:11" ht="45" x14ac:dyDescent="0.25">
      <c r="A33" s="5"/>
      <c r="B33" s="10"/>
      <c r="C33" s="10">
        <v>89905</v>
      </c>
      <c r="D33" s="10" t="s">
        <v>55</v>
      </c>
      <c r="E33" s="10" t="s">
        <v>14</v>
      </c>
      <c r="F33" s="10" t="s">
        <v>66</v>
      </c>
      <c r="G33" s="10" t="s">
        <v>16</v>
      </c>
      <c r="H33" s="10"/>
      <c r="I33" s="21">
        <v>22410000</v>
      </c>
      <c r="J33" s="18">
        <f t="shared" si="1"/>
        <v>0</v>
      </c>
      <c r="K33" s="12" t="s">
        <v>59</v>
      </c>
    </row>
    <row r="34" spans="1:11" x14ac:dyDescent="0.25">
      <c r="A34" s="5"/>
      <c r="B34" s="14" t="s">
        <v>60</v>
      </c>
      <c r="C34" s="10"/>
      <c r="D34" s="10"/>
      <c r="E34" s="10"/>
      <c r="F34" s="10"/>
      <c r="G34" s="10"/>
      <c r="H34" s="10">
        <v>1</v>
      </c>
      <c r="I34" s="22"/>
      <c r="J34" s="18">
        <f t="shared" si="1"/>
        <v>0</v>
      </c>
      <c r="K34" s="12"/>
    </row>
    <row r="35" spans="1:11" ht="60" x14ac:dyDescent="0.25">
      <c r="A35" s="5"/>
      <c r="B35" s="10"/>
      <c r="C35" s="10">
        <v>28300</v>
      </c>
      <c r="D35" s="10" t="s">
        <v>61</v>
      </c>
      <c r="E35" s="10" t="s">
        <v>14</v>
      </c>
      <c r="F35" s="10" t="s">
        <v>68</v>
      </c>
      <c r="G35" s="10" t="s">
        <v>16</v>
      </c>
      <c r="H35" s="10">
        <v>1</v>
      </c>
      <c r="I35" s="21">
        <v>7130000</v>
      </c>
      <c r="J35" s="18">
        <f t="shared" si="1"/>
        <v>7130000</v>
      </c>
      <c r="K35" s="30" t="s">
        <v>63</v>
      </c>
    </row>
    <row r="36" spans="1:11" ht="75" x14ac:dyDescent="0.25">
      <c r="A36" s="5"/>
      <c r="B36" s="10"/>
      <c r="C36" s="10">
        <v>28299</v>
      </c>
      <c r="D36" s="10" t="s">
        <v>62</v>
      </c>
      <c r="E36" s="10" t="s">
        <v>14</v>
      </c>
      <c r="F36" s="13" t="s">
        <v>65</v>
      </c>
      <c r="G36" s="10" t="s">
        <v>16</v>
      </c>
      <c r="H36" s="10">
        <v>1</v>
      </c>
      <c r="I36" s="21">
        <v>59830000</v>
      </c>
      <c r="J36" s="18">
        <f t="shared" si="1"/>
        <v>59830000</v>
      </c>
      <c r="K36" s="31"/>
    </row>
    <row r="37" spans="1:11" x14ac:dyDescent="0.25">
      <c r="A37" s="5"/>
      <c r="B37" s="14" t="s">
        <v>69</v>
      </c>
      <c r="C37" s="10"/>
      <c r="D37" s="10"/>
      <c r="E37" s="10"/>
      <c r="F37" s="10"/>
      <c r="G37" s="10"/>
      <c r="H37" s="10"/>
      <c r="I37" s="21"/>
      <c r="J37" s="18">
        <f t="shared" si="1"/>
        <v>0</v>
      </c>
      <c r="K37" s="12"/>
    </row>
    <row r="38" spans="1:11" ht="45" x14ac:dyDescent="0.25">
      <c r="A38" s="5"/>
      <c r="B38" s="14"/>
      <c r="C38" s="10">
        <v>87786</v>
      </c>
      <c r="D38" s="10" t="s">
        <v>70</v>
      </c>
      <c r="E38" s="10" t="s">
        <v>14</v>
      </c>
      <c r="F38" s="10" t="s">
        <v>72</v>
      </c>
      <c r="G38" s="10" t="s">
        <v>76</v>
      </c>
      <c r="H38" s="10">
        <v>1</v>
      </c>
      <c r="I38" s="21">
        <v>4520000</v>
      </c>
      <c r="J38" s="18">
        <f t="shared" si="1"/>
        <v>4520000</v>
      </c>
      <c r="K38" s="12"/>
    </row>
    <row r="39" spans="1:11" ht="45" x14ac:dyDescent="0.25">
      <c r="A39" s="5"/>
      <c r="B39" s="14"/>
      <c r="C39" s="10">
        <v>87785</v>
      </c>
      <c r="D39" s="10" t="s">
        <v>71</v>
      </c>
      <c r="E39" s="10" t="s">
        <v>14</v>
      </c>
      <c r="F39" s="10" t="s">
        <v>72</v>
      </c>
      <c r="G39" s="10" t="s">
        <v>76</v>
      </c>
      <c r="H39" s="10">
        <v>1</v>
      </c>
      <c r="I39" s="21">
        <v>4100000</v>
      </c>
      <c r="J39" s="18">
        <f t="shared" si="1"/>
        <v>4100000</v>
      </c>
      <c r="K39" s="12"/>
    </row>
    <row r="40" spans="1:11" ht="45" x14ac:dyDescent="0.25">
      <c r="A40" s="5"/>
      <c r="B40" s="14"/>
      <c r="C40" s="10">
        <v>78420</v>
      </c>
      <c r="D40" s="10" t="s">
        <v>73</v>
      </c>
      <c r="E40" s="10" t="s">
        <v>14</v>
      </c>
      <c r="F40" s="10" t="s">
        <v>72</v>
      </c>
      <c r="G40" s="10" t="s">
        <v>76</v>
      </c>
      <c r="H40" s="10">
        <v>1</v>
      </c>
      <c r="I40" s="21">
        <v>9330000</v>
      </c>
      <c r="J40" s="18">
        <f t="shared" si="1"/>
        <v>9330000</v>
      </c>
      <c r="K40" s="12"/>
    </row>
    <row r="41" spans="1:11" ht="45" x14ac:dyDescent="0.25">
      <c r="A41" s="5"/>
      <c r="B41" s="14"/>
      <c r="C41" s="10">
        <v>78440</v>
      </c>
      <c r="D41" s="10" t="s">
        <v>74</v>
      </c>
      <c r="E41" s="10" t="s">
        <v>14</v>
      </c>
      <c r="F41" s="10" t="s">
        <v>72</v>
      </c>
      <c r="G41" s="10" t="s">
        <v>76</v>
      </c>
      <c r="H41" s="10">
        <v>1</v>
      </c>
      <c r="I41" s="21">
        <v>11370000</v>
      </c>
      <c r="J41" s="18">
        <f t="shared" si="1"/>
        <v>11370000</v>
      </c>
      <c r="K41" s="12"/>
    </row>
    <row r="42" spans="1:11" ht="60" x14ac:dyDescent="0.25">
      <c r="A42" s="5"/>
      <c r="B42" s="14"/>
      <c r="C42" s="10">
        <v>78441</v>
      </c>
      <c r="D42" s="10" t="s">
        <v>75</v>
      </c>
      <c r="E42" s="10" t="s">
        <v>14</v>
      </c>
      <c r="F42" s="10" t="s">
        <v>72</v>
      </c>
      <c r="G42" s="10" t="s">
        <v>76</v>
      </c>
      <c r="H42" s="10">
        <v>1</v>
      </c>
      <c r="I42" s="21">
        <v>10630000</v>
      </c>
      <c r="J42" s="18">
        <f t="shared" si="1"/>
        <v>10630000</v>
      </c>
      <c r="K42" s="12"/>
    </row>
    <row r="43" spans="1:11" x14ac:dyDescent="0.25">
      <c r="A43" s="5"/>
      <c r="B43" s="14" t="s">
        <v>77</v>
      </c>
      <c r="C43" s="10"/>
      <c r="D43" s="10"/>
      <c r="E43" s="10"/>
      <c r="F43" s="10"/>
      <c r="G43" s="10"/>
      <c r="H43" s="10"/>
      <c r="I43" s="21"/>
      <c r="J43" s="18">
        <f t="shared" si="1"/>
        <v>0</v>
      </c>
      <c r="K43" s="12"/>
    </row>
    <row r="44" spans="1:11" x14ac:dyDescent="0.25">
      <c r="A44" s="5"/>
      <c r="B44" s="14" t="s">
        <v>78</v>
      </c>
      <c r="C44" s="10"/>
      <c r="D44" s="10"/>
      <c r="E44" s="10"/>
      <c r="F44" s="10"/>
      <c r="G44" s="10"/>
      <c r="H44" s="10"/>
      <c r="I44" s="21"/>
      <c r="J44" s="18">
        <f t="shared" si="1"/>
        <v>0</v>
      </c>
      <c r="K44" s="12"/>
    </row>
    <row r="45" spans="1:11" ht="45" x14ac:dyDescent="0.25">
      <c r="A45" s="5"/>
      <c r="B45" s="14"/>
      <c r="C45" s="10">
        <v>88404</v>
      </c>
      <c r="D45" s="27" t="s">
        <v>79</v>
      </c>
      <c r="E45" s="10" t="s">
        <v>14</v>
      </c>
      <c r="F45" s="10" t="s">
        <v>80</v>
      </c>
      <c r="G45" s="10" t="s">
        <v>81</v>
      </c>
      <c r="H45" s="10">
        <v>1</v>
      </c>
      <c r="I45" s="23">
        <v>11610000</v>
      </c>
      <c r="J45" s="18">
        <f t="shared" si="1"/>
        <v>11610000</v>
      </c>
      <c r="K45" s="12"/>
    </row>
    <row r="46" spans="1:11" ht="60" x14ac:dyDescent="0.25">
      <c r="A46" s="5"/>
      <c r="B46" s="14"/>
      <c r="C46" s="10">
        <v>69574</v>
      </c>
      <c r="D46" s="28"/>
      <c r="E46" s="10" t="s">
        <v>14</v>
      </c>
      <c r="F46" s="10" t="s">
        <v>82</v>
      </c>
      <c r="G46" s="10" t="s">
        <v>83</v>
      </c>
      <c r="H46" s="10">
        <v>1</v>
      </c>
      <c r="I46" s="23">
        <v>3810000</v>
      </c>
      <c r="J46" s="18">
        <f t="shared" si="1"/>
        <v>3810000</v>
      </c>
      <c r="K46" s="12"/>
    </row>
    <row r="47" spans="1:11" ht="60" x14ac:dyDescent="0.25">
      <c r="A47" s="5"/>
      <c r="B47" s="14"/>
      <c r="C47" s="10">
        <v>88401</v>
      </c>
      <c r="D47" s="29"/>
      <c r="E47" s="10" t="s">
        <v>14</v>
      </c>
      <c r="F47" s="10" t="s">
        <v>84</v>
      </c>
      <c r="G47" s="10" t="s">
        <v>81</v>
      </c>
      <c r="H47" s="10">
        <v>1</v>
      </c>
      <c r="I47" s="23">
        <v>10790000</v>
      </c>
      <c r="J47" s="18">
        <f t="shared" si="1"/>
        <v>10790000</v>
      </c>
      <c r="K47" s="12"/>
    </row>
    <row r="48" spans="1:11" x14ac:dyDescent="0.25">
      <c r="A48" s="5"/>
      <c r="B48" s="14" t="s">
        <v>85</v>
      </c>
      <c r="C48" s="10"/>
      <c r="D48" s="10"/>
      <c r="E48" s="10"/>
      <c r="F48" s="10"/>
      <c r="G48" s="10"/>
      <c r="H48" s="10"/>
      <c r="I48" s="21"/>
      <c r="J48" s="18">
        <f t="shared" si="1"/>
        <v>0</v>
      </c>
      <c r="K48" s="12"/>
    </row>
    <row r="49" spans="1:11" ht="60" x14ac:dyDescent="0.25">
      <c r="A49" s="5"/>
      <c r="B49" s="14"/>
      <c r="C49" s="10">
        <v>89890</v>
      </c>
      <c r="D49" s="10" t="s">
        <v>86</v>
      </c>
      <c r="E49" s="10" t="s">
        <v>14</v>
      </c>
      <c r="F49" s="10" t="s">
        <v>95</v>
      </c>
      <c r="G49" s="10" t="s">
        <v>10</v>
      </c>
      <c r="H49" s="10">
        <v>1</v>
      </c>
      <c r="I49" s="21">
        <v>11654000</v>
      </c>
      <c r="J49" s="18">
        <f t="shared" si="1"/>
        <v>11654000</v>
      </c>
      <c r="K49" s="27" t="s">
        <v>91</v>
      </c>
    </row>
    <row r="50" spans="1:11" ht="60" x14ac:dyDescent="0.25">
      <c r="A50" s="5"/>
      <c r="B50" s="14"/>
      <c r="C50" s="10">
        <v>89877</v>
      </c>
      <c r="D50" s="10" t="s">
        <v>87</v>
      </c>
      <c r="E50" s="10" t="s">
        <v>14</v>
      </c>
      <c r="F50" s="10" t="s">
        <v>96</v>
      </c>
      <c r="G50" s="10" t="s">
        <v>10</v>
      </c>
      <c r="H50" s="10">
        <v>1</v>
      </c>
      <c r="I50" s="21">
        <v>7292000</v>
      </c>
      <c r="J50" s="18">
        <f t="shared" si="1"/>
        <v>7292000</v>
      </c>
      <c r="K50" s="28"/>
    </row>
    <row r="51" spans="1:11" ht="60" x14ac:dyDescent="0.25">
      <c r="A51" s="5"/>
      <c r="B51" s="14"/>
      <c r="C51" s="10" t="s">
        <v>88</v>
      </c>
      <c r="D51" s="10" t="s">
        <v>89</v>
      </c>
      <c r="E51" s="10" t="s">
        <v>14</v>
      </c>
      <c r="F51" s="10" t="s">
        <v>97</v>
      </c>
      <c r="G51" s="10" t="s">
        <v>10</v>
      </c>
      <c r="H51" s="10">
        <v>1</v>
      </c>
      <c r="I51" s="21">
        <v>8392000</v>
      </c>
      <c r="J51" s="18">
        <f t="shared" si="1"/>
        <v>8392000</v>
      </c>
      <c r="K51" s="28"/>
    </row>
    <row r="52" spans="1:11" ht="60" x14ac:dyDescent="0.25">
      <c r="A52" s="5"/>
      <c r="B52" s="14"/>
      <c r="C52" s="10">
        <v>89891</v>
      </c>
      <c r="D52" s="10" t="s">
        <v>90</v>
      </c>
      <c r="E52" s="10" t="s">
        <v>14</v>
      </c>
      <c r="F52" s="10" t="s">
        <v>98</v>
      </c>
      <c r="G52" s="10" t="s">
        <v>10</v>
      </c>
      <c r="H52" s="10">
        <v>1</v>
      </c>
      <c r="I52" s="21">
        <v>3477000</v>
      </c>
      <c r="J52" s="18">
        <f t="shared" si="1"/>
        <v>3477000</v>
      </c>
      <c r="K52" s="29"/>
    </row>
    <row r="53" spans="1:11" ht="30" x14ac:dyDescent="0.25">
      <c r="A53" s="5"/>
      <c r="B53" s="14"/>
      <c r="C53" s="10">
        <v>89934</v>
      </c>
      <c r="D53" s="10" t="s">
        <v>93</v>
      </c>
      <c r="E53" s="10" t="s">
        <v>14</v>
      </c>
      <c r="F53" s="10" t="s">
        <v>94</v>
      </c>
      <c r="G53" s="10" t="s">
        <v>10</v>
      </c>
      <c r="H53" s="10">
        <v>1</v>
      </c>
      <c r="I53" s="21">
        <v>9448000</v>
      </c>
      <c r="J53" s="18">
        <f t="shared" si="1"/>
        <v>9448000</v>
      </c>
      <c r="K53" s="27" t="s">
        <v>92</v>
      </c>
    </row>
    <row r="54" spans="1:11" ht="30" x14ac:dyDescent="0.25">
      <c r="A54" s="5"/>
      <c r="B54" s="14"/>
      <c r="C54" s="10">
        <v>89935</v>
      </c>
      <c r="D54" s="10" t="s">
        <v>100</v>
      </c>
      <c r="E54" s="10" t="s">
        <v>14</v>
      </c>
      <c r="F54" s="10" t="s">
        <v>99</v>
      </c>
      <c r="G54" s="10" t="s">
        <v>10</v>
      </c>
      <c r="H54" s="10">
        <v>1</v>
      </c>
      <c r="I54" s="21">
        <v>11031000</v>
      </c>
      <c r="J54" s="18">
        <f t="shared" si="1"/>
        <v>11031000</v>
      </c>
      <c r="K54" s="29"/>
    </row>
    <row r="55" spans="1:11" ht="30" customHeight="1" x14ac:dyDescent="0.25">
      <c r="A55" s="5"/>
      <c r="B55" s="14"/>
      <c r="C55" s="10">
        <v>89807</v>
      </c>
      <c r="D55" s="27" t="s">
        <v>101</v>
      </c>
      <c r="E55" s="10" t="s">
        <v>14</v>
      </c>
      <c r="F55" s="10" t="s">
        <v>102</v>
      </c>
      <c r="G55" s="10" t="s">
        <v>10</v>
      </c>
      <c r="H55" s="10">
        <v>1</v>
      </c>
      <c r="I55" s="21">
        <v>13609000</v>
      </c>
      <c r="J55" s="18">
        <f t="shared" si="1"/>
        <v>13609000</v>
      </c>
      <c r="K55" s="27" t="s">
        <v>104</v>
      </c>
    </row>
    <row r="56" spans="1:11" ht="30" customHeight="1" x14ac:dyDescent="0.25">
      <c r="A56" s="5"/>
      <c r="B56" s="14"/>
      <c r="C56" s="10">
        <v>89808</v>
      </c>
      <c r="D56" s="29"/>
      <c r="E56" s="10" t="s">
        <v>14</v>
      </c>
      <c r="F56" s="10" t="s">
        <v>103</v>
      </c>
      <c r="G56" s="10" t="s">
        <v>10</v>
      </c>
      <c r="H56" s="10">
        <v>1</v>
      </c>
      <c r="I56" s="21">
        <v>24635000</v>
      </c>
      <c r="J56" s="18">
        <f t="shared" si="1"/>
        <v>24635000</v>
      </c>
      <c r="K56" s="29"/>
    </row>
    <row r="57" spans="1:11" x14ac:dyDescent="0.25">
      <c r="A57" s="5"/>
      <c r="B57" s="14" t="s">
        <v>105</v>
      </c>
      <c r="C57" s="10"/>
      <c r="D57" s="10"/>
      <c r="E57" s="10"/>
      <c r="F57" s="10"/>
      <c r="G57" s="10"/>
      <c r="H57" s="10"/>
      <c r="I57" s="21"/>
      <c r="J57" s="18">
        <f t="shared" si="1"/>
        <v>0</v>
      </c>
      <c r="K57" s="12"/>
    </row>
    <row r="58" spans="1:11" ht="60" x14ac:dyDescent="0.25">
      <c r="A58" s="5"/>
      <c r="B58" s="14"/>
      <c r="C58" s="10">
        <v>88513</v>
      </c>
      <c r="D58" s="10" t="s">
        <v>106</v>
      </c>
      <c r="E58" s="10" t="s">
        <v>14</v>
      </c>
      <c r="F58" s="10" t="s">
        <v>110</v>
      </c>
      <c r="G58" s="10" t="s">
        <v>10</v>
      </c>
      <c r="H58" s="10">
        <v>1</v>
      </c>
      <c r="I58" s="21">
        <v>6490000</v>
      </c>
      <c r="J58" s="18">
        <f t="shared" si="1"/>
        <v>6490000</v>
      </c>
      <c r="K58" s="12"/>
    </row>
    <row r="59" spans="1:11" ht="60" x14ac:dyDescent="0.25">
      <c r="A59" s="5"/>
      <c r="B59" s="14"/>
      <c r="C59" s="10">
        <v>88516</v>
      </c>
      <c r="D59" s="10" t="s">
        <v>107</v>
      </c>
      <c r="E59" s="10" t="s">
        <v>14</v>
      </c>
      <c r="F59" s="10" t="s">
        <v>111</v>
      </c>
      <c r="G59" s="10" t="s">
        <v>10</v>
      </c>
      <c r="H59" s="10">
        <v>1</v>
      </c>
      <c r="I59" s="21">
        <v>4150000</v>
      </c>
      <c r="J59" s="18">
        <f t="shared" si="1"/>
        <v>4150000</v>
      </c>
      <c r="K59" s="12"/>
    </row>
    <row r="60" spans="1:11" ht="60" x14ac:dyDescent="0.25">
      <c r="A60" s="5"/>
      <c r="B60" s="14"/>
      <c r="C60" s="10">
        <v>88527</v>
      </c>
      <c r="D60" s="10" t="s">
        <v>108</v>
      </c>
      <c r="E60" s="10" t="s">
        <v>14</v>
      </c>
      <c r="F60" s="10" t="s">
        <v>111</v>
      </c>
      <c r="G60" s="10" t="s">
        <v>10</v>
      </c>
      <c r="H60" s="10">
        <v>1</v>
      </c>
      <c r="I60" s="21">
        <v>8660000</v>
      </c>
      <c r="J60" s="18">
        <f t="shared" si="1"/>
        <v>8660000</v>
      </c>
      <c r="K60" s="12"/>
    </row>
    <row r="61" spans="1:11" ht="60" x14ac:dyDescent="0.25">
      <c r="A61" s="5"/>
      <c r="B61" s="14"/>
      <c r="C61" s="10">
        <v>88535</v>
      </c>
      <c r="D61" s="10" t="s">
        <v>109</v>
      </c>
      <c r="E61" s="10" t="s">
        <v>14</v>
      </c>
      <c r="F61" s="10" t="s">
        <v>112</v>
      </c>
      <c r="G61" s="10" t="s">
        <v>10</v>
      </c>
      <c r="H61" s="10">
        <v>1</v>
      </c>
      <c r="I61" s="21">
        <v>8760000</v>
      </c>
      <c r="J61" s="18">
        <f t="shared" si="1"/>
        <v>8760000</v>
      </c>
      <c r="K61" s="12"/>
    </row>
    <row r="62" spans="1:11" x14ac:dyDescent="0.25">
      <c r="A62" s="5"/>
      <c r="B62" s="14" t="s">
        <v>113</v>
      </c>
      <c r="C62" s="10"/>
      <c r="D62" s="10"/>
      <c r="E62" s="10"/>
      <c r="F62" s="10"/>
      <c r="G62" s="10"/>
      <c r="H62" s="10"/>
      <c r="I62" s="21"/>
      <c r="J62" s="10"/>
      <c r="K62" s="12"/>
    </row>
    <row r="63" spans="1:11" ht="30" x14ac:dyDescent="0.25">
      <c r="A63" s="5"/>
      <c r="B63" s="10"/>
      <c r="C63" s="10"/>
      <c r="D63" s="10" t="s">
        <v>114</v>
      </c>
      <c r="E63" s="10"/>
      <c r="F63" s="10"/>
      <c r="G63" s="10"/>
      <c r="H63" s="10"/>
      <c r="I63" s="21"/>
      <c r="J63" s="10"/>
      <c r="K63" s="27" t="s">
        <v>265</v>
      </c>
    </row>
    <row r="64" spans="1:11" ht="30" x14ac:dyDescent="0.25">
      <c r="A64" s="5"/>
      <c r="B64" s="10"/>
      <c r="C64" s="10"/>
      <c r="D64" s="10" t="s">
        <v>115</v>
      </c>
      <c r="E64" s="10"/>
      <c r="F64" s="10"/>
      <c r="G64" s="10"/>
      <c r="H64" s="10"/>
      <c r="I64" s="21"/>
      <c r="J64" s="10"/>
      <c r="K64" s="28"/>
    </row>
    <row r="65" spans="1:11" ht="30" x14ac:dyDescent="0.25">
      <c r="A65" s="5"/>
      <c r="B65" s="10"/>
      <c r="C65" s="10"/>
      <c r="D65" s="10" t="s">
        <v>116</v>
      </c>
      <c r="E65" s="10"/>
      <c r="F65" s="10"/>
      <c r="G65" s="10"/>
      <c r="H65" s="10"/>
      <c r="I65" s="21"/>
      <c r="J65" s="10"/>
      <c r="K65" s="29"/>
    </row>
    <row r="66" spans="1:11" x14ac:dyDescent="0.25">
      <c r="A66" s="5"/>
      <c r="B66" s="14" t="s">
        <v>117</v>
      </c>
      <c r="C66" s="10"/>
      <c r="D66" s="10"/>
      <c r="E66" s="10"/>
      <c r="F66" s="10"/>
      <c r="G66" s="10"/>
      <c r="H66" s="10"/>
      <c r="I66" s="21"/>
      <c r="J66" s="10"/>
      <c r="K66" s="12"/>
    </row>
    <row r="67" spans="1:11" x14ac:dyDescent="0.25">
      <c r="A67" s="5"/>
      <c r="B67" s="14" t="s">
        <v>247</v>
      </c>
      <c r="C67" s="10"/>
      <c r="D67" s="10"/>
      <c r="E67" s="10"/>
      <c r="F67" s="10"/>
      <c r="G67" s="10"/>
      <c r="H67" s="10"/>
      <c r="I67" s="21"/>
      <c r="J67" s="10"/>
      <c r="K67" s="12"/>
    </row>
    <row r="68" spans="1:11" x14ac:dyDescent="0.25">
      <c r="A68" s="5"/>
      <c r="B68" s="14" t="s">
        <v>210</v>
      </c>
      <c r="C68" s="10"/>
      <c r="D68" s="10"/>
      <c r="E68" s="10"/>
      <c r="F68" s="10"/>
      <c r="G68" s="10"/>
      <c r="H68" s="10"/>
      <c r="I68" s="21"/>
      <c r="J68" s="10"/>
      <c r="K68" s="12"/>
    </row>
    <row r="69" spans="1:11" ht="45" x14ac:dyDescent="0.25">
      <c r="A69" s="5"/>
      <c r="B69" s="14"/>
      <c r="C69" s="10">
        <v>1658040</v>
      </c>
      <c r="D69" s="10" t="s">
        <v>118</v>
      </c>
      <c r="E69" s="10" t="s">
        <v>121</v>
      </c>
      <c r="F69" s="10" t="s">
        <v>119</v>
      </c>
      <c r="G69" s="10" t="s">
        <v>10</v>
      </c>
      <c r="H69" s="10">
        <v>1</v>
      </c>
      <c r="I69" s="21">
        <v>7850000</v>
      </c>
      <c r="J69" s="18">
        <f t="shared" ref="J69" si="2">I69*H69</f>
        <v>7850000</v>
      </c>
      <c r="K69" s="12" t="s">
        <v>120</v>
      </c>
    </row>
    <row r="70" spans="1:11" x14ac:dyDescent="0.25">
      <c r="A70" s="5"/>
      <c r="B70" s="14" t="s">
        <v>211</v>
      </c>
      <c r="C70" s="10"/>
      <c r="D70" s="10"/>
      <c r="E70" s="10"/>
      <c r="F70" s="10"/>
      <c r="G70" s="10"/>
      <c r="H70" s="10"/>
      <c r="I70" s="21"/>
      <c r="J70" s="10"/>
      <c r="K70" s="15"/>
    </row>
    <row r="71" spans="1:11" ht="60" x14ac:dyDescent="0.25">
      <c r="A71" s="5"/>
      <c r="B71" s="14"/>
      <c r="C71" s="10" t="s">
        <v>122</v>
      </c>
      <c r="D71" s="10" t="s">
        <v>123</v>
      </c>
      <c r="E71" s="10" t="s">
        <v>121</v>
      </c>
      <c r="F71" s="10" t="s">
        <v>160</v>
      </c>
      <c r="G71" s="10" t="s">
        <v>10</v>
      </c>
      <c r="H71" s="10">
        <v>1</v>
      </c>
      <c r="I71" s="21">
        <v>7860000</v>
      </c>
      <c r="J71" s="18">
        <f t="shared" ref="J71:J134" si="3">I71*H71</f>
        <v>7860000</v>
      </c>
      <c r="K71" s="27" t="s">
        <v>199</v>
      </c>
    </row>
    <row r="72" spans="1:11" ht="60" x14ac:dyDescent="0.25">
      <c r="A72" s="5"/>
      <c r="B72" s="14"/>
      <c r="C72" s="10" t="s">
        <v>124</v>
      </c>
      <c r="D72" s="10" t="s">
        <v>125</v>
      </c>
      <c r="E72" s="10" t="s">
        <v>121</v>
      </c>
      <c r="F72" s="10" t="s">
        <v>160</v>
      </c>
      <c r="G72" s="10" t="s">
        <v>10</v>
      </c>
      <c r="H72" s="10">
        <v>1</v>
      </c>
      <c r="I72" s="21">
        <v>7930000</v>
      </c>
      <c r="J72" s="18">
        <f t="shared" si="3"/>
        <v>7930000</v>
      </c>
      <c r="K72" s="28"/>
    </row>
    <row r="73" spans="1:11" ht="60" x14ac:dyDescent="0.25">
      <c r="A73" s="5"/>
      <c r="B73" s="14"/>
      <c r="C73" s="10" t="s">
        <v>126</v>
      </c>
      <c r="D73" s="10" t="s">
        <v>127</v>
      </c>
      <c r="E73" s="10" t="s">
        <v>121</v>
      </c>
      <c r="F73" s="10" t="s">
        <v>160</v>
      </c>
      <c r="G73" s="10" t="s">
        <v>10</v>
      </c>
      <c r="H73" s="10">
        <v>1</v>
      </c>
      <c r="I73" s="21">
        <v>8120000</v>
      </c>
      <c r="J73" s="18">
        <f t="shared" si="3"/>
        <v>8120000</v>
      </c>
      <c r="K73" s="28"/>
    </row>
    <row r="74" spans="1:11" ht="60" x14ac:dyDescent="0.25">
      <c r="A74" s="5"/>
      <c r="B74" s="14"/>
      <c r="C74" s="10" t="s">
        <v>128</v>
      </c>
      <c r="D74" s="10" t="s">
        <v>129</v>
      </c>
      <c r="E74" s="10" t="s">
        <v>121</v>
      </c>
      <c r="F74" s="10" t="s">
        <v>160</v>
      </c>
      <c r="G74" s="10" t="s">
        <v>10</v>
      </c>
      <c r="H74" s="10">
        <v>1</v>
      </c>
      <c r="I74" s="21">
        <v>8150000</v>
      </c>
      <c r="J74" s="18">
        <f t="shared" si="3"/>
        <v>8150000</v>
      </c>
      <c r="K74" s="28"/>
    </row>
    <row r="75" spans="1:11" ht="60" x14ac:dyDescent="0.25">
      <c r="A75" s="5"/>
      <c r="B75" s="14"/>
      <c r="C75" s="10" t="s">
        <v>130</v>
      </c>
      <c r="D75" s="10" t="s">
        <v>131</v>
      </c>
      <c r="E75" s="10" t="s">
        <v>121</v>
      </c>
      <c r="F75" s="10" t="s">
        <v>160</v>
      </c>
      <c r="G75" s="10" t="s">
        <v>10</v>
      </c>
      <c r="H75" s="10">
        <v>1</v>
      </c>
      <c r="I75" s="21">
        <v>7980000</v>
      </c>
      <c r="J75" s="18">
        <f t="shared" si="3"/>
        <v>7980000</v>
      </c>
      <c r="K75" s="28"/>
    </row>
    <row r="76" spans="1:11" ht="60" x14ac:dyDescent="0.25">
      <c r="A76" s="5"/>
      <c r="B76" s="14"/>
      <c r="C76" s="10" t="s">
        <v>132</v>
      </c>
      <c r="D76" s="10" t="s">
        <v>133</v>
      </c>
      <c r="E76" s="10" t="s">
        <v>121</v>
      </c>
      <c r="F76" s="10" t="s">
        <v>160</v>
      </c>
      <c r="G76" s="10" t="s">
        <v>10</v>
      </c>
      <c r="H76" s="10">
        <v>1</v>
      </c>
      <c r="I76" s="21">
        <v>7990000</v>
      </c>
      <c r="J76" s="18">
        <f t="shared" si="3"/>
        <v>7990000</v>
      </c>
      <c r="K76" s="28"/>
    </row>
    <row r="77" spans="1:11" ht="60" x14ac:dyDescent="0.25">
      <c r="A77" s="5"/>
      <c r="B77" s="14"/>
      <c r="C77" s="10" t="s">
        <v>134</v>
      </c>
      <c r="D77" s="10" t="s">
        <v>135</v>
      </c>
      <c r="E77" s="10" t="s">
        <v>121</v>
      </c>
      <c r="F77" s="10" t="s">
        <v>160</v>
      </c>
      <c r="G77" s="10" t="s">
        <v>10</v>
      </c>
      <c r="H77" s="10">
        <v>1</v>
      </c>
      <c r="I77" s="21">
        <v>7940000</v>
      </c>
      <c r="J77" s="18">
        <f t="shared" si="3"/>
        <v>7940000</v>
      </c>
      <c r="K77" s="28"/>
    </row>
    <row r="78" spans="1:11" ht="60" x14ac:dyDescent="0.25">
      <c r="A78" s="5"/>
      <c r="B78" s="14"/>
      <c r="C78" s="10" t="s">
        <v>136</v>
      </c>
      <c r="D78" s="10" t="s">
        <v>137</v>
      </c>
      <c r="E78" s="10" t="s">
        <v>121</v>
      </c>
      <c r="F78" s="10" t="s">
        <v>160</v>
      </c>
      <c r="G78" s="10" t="s">
        <v>10</v>
      </c>
      <c r="H78" s="10">
        <v>1</v>
      </c>
      <c r="I78" s="21">
        <v>8020000</v>
      </c>
      <c r="J78" s="18">
        <f t="shared" si="3"/>
        <v>8020000</v>
      </c>
      <c r="K78" s="28"/>
    </row>
    <row r="79" spans="1:11" ht="60" x14ac:dyDescent="0.25">
      <c r="A79" s="5"/>
      <c r="B79" s="14"/>
      <c r="C79" s="10" t="s">
        <v>138</v>
      </c>
      <c r="D79" s="10" t="s">
        <v>139</v>
      </c>
      <c r="E79" s="10" t="s">
        <v>121</v>
      </c>
      <c r="F79" s="10" t="s">
        <v>160</v>
      </c>
      <c r="G79" s="10" t="s">
        <v>10</v>
      </c>
      <c r="H79" s="10">
        <v>1</v>
      </c>
      <c r="I79" s="21">
        <v>8010000</v>
      </c>
      <c r="J79" s="18">
        <f t="shared" si="3"/>
        <v>8010000</v>
      </c>
      <c r="K79" s="28"/>
    </row>
    <row r="80" spans="1:11" ht="60" x14ac:dyDescent="0.25">
      <c r="A80" s="5"/>
      <c r="B80" s="14"/>
      <c r="C80" s="10" t="s">
        <v>140</v>
      </c>
      <c r="D80" s="10" t="s">
        <v>141</v>
      </c>
      <c r="E80" s="10" t="s">
        <v>121</v>
      </c>
      <c r="F80" s="10" t="s">
        <v>160</v>
      </c>
      <c r="G80" s="10" t="s">
        <v>10</v>
      </c>
      <c r="H80" s="10">
        <v>1</v>
      </c>
      <c r="I80" s="21">
        <v>8100000</v>
      </c>
      <c r="J80" s="18">
        <f t="shared" si="3"/>
        <v>8100000</v>
      </c>
      <c r="K80" s="28"/>
    </row>
    <row r="81" spans="1:11" ht="60" x14ac:dyDescent="0.25">
      <c r="A81" s="5"/>
      <c r="B81" s="14"/>
      <c r="C81" s="10" t="s">
        <v>142</v>
      </c>
      <c r="D81" s="10" t="s">
        <v>143</v>
      </c>
      <c r="E81" s="10" t="s">
        <v>121</v>
      </c>
      <c r="F81" s="10" t="s">
        <v>160</v>
      </c>
      <c r="G81" s="10" t="s">
        <v>10</v>
      </c>
      <c r="H81" s="10">
        <v>1</v>
      </c>
      <c r="I81" s="21">
        <v>7960000</v>
      </c>
      <c r="J81" s="18">
        <f t="shared" si="3"/>
        <v>7960000</v>
      </c>
      <c r="K81" s="28"/>
    </row>
    <row r="82" spans="1:11" ht="60" x14ac:dyDescent="0.25">
      <c r="A82" s="5"/>
      <c r="B82" s="14"/>
      <c r="C82" s="10" t="s">
        <v>144</v>
      </c>
      <c r="D82" s="10" t="s">
        <v>145</v>
      </c>
      <c r="E82" s="10" t="s">
        <v>121</v>
      </c>
      <c r="F82" s="10" t="s">
        <v>160</v>
      </c>
      <c r="G82" s="10" t="s">
        <v>10</v>
      </c>
      <c r="H82" s="10">
        <v>1</v>
      </c>
      <c r="I82" s="21">
        <v>8030000</v>
      </c>
      <c r="J82" s="18">
        <f t="shared" si="3"/>
        <v>8030000</v>
      </c>
      <c r="K82" s="28"/>
    </row>
    <row r="83" spans="1:11" ht="60" x14ac:dyDescent="0.25">
      <c r="A83" s="5"/>
      <c r="B83" s="14"/>
      <c r="C83" s="10" t="s">
        <v>146</v>
      </c>
      <c r="D83" s="10" t="s">
        <v>147</v>
      </c>
      <c r="E83" s="10" t="s">
        <v>121</v>
      </c>
      <c r="F83" s="10" t="s">
        <v>160</v>
      </c>
      <c r="G83" s="10" t="s">
        <v>10</v>
      </c>
      <c r="H83" s="10">
        <v>1</v>
      </c>
      <c r="I83" s="21">
        <v>8050000</v>
      </c>
      <c r="J83" s="18">
        <f t="shared" si="3"/>
        <v>8050000</v>
      </c>
      <c r="K83" s="28"/>
    </row>
    <row r="84" spans="1:11" ht="60" x14ac:dyDescent="0.25">
      <c r="A84" s="5"/>
      <c r="B84" s="14"/>
      <c r="C84" s="10" t="s">
        <v>148</v>
      </c>
      <c r="D84" s="10" t="s">
        <v>149</v>
      </c>
      <c r="E84" s="10" t="s">
        <v>121</v>
      </c>
      <c r="F84" s="10" t="s">
        <v>160</v>
      </c>
      <c r="G84" s="10" t="s">
        <v>10</v>
      </c>
      <c r="H84" s="10">
        <v>1</v>
      </c>
      <c r="I84" s="21">
        <v>7960000</v>
      </c>
      <c r="J84" s="18">
        <f t="shared" si="3"/>
        <v>7960000</v>
      </c>
      <c r="K84" s="28"/>
    </row>
    <row r="85" spans="1:11" ht="60" x14ac:dyDescent="0.25">
      <c r="A85" s="5"/>
      <c r="B85" s="14"/>
      <c r="C85" s="10" t="s">
        <v>150</v>
      </c>
      <c r="D85" s="10" t="s">
        <v>151</v>
      </c>
      <c r="E85" s="10" t="s">
        <v>121</v>
      </c>
      <c r="F85" s="10" t="s">
        <v>160</v>
      </c>
      <c r="G85" s="10" t="s">
        <v>10</v>
      </c>
      <c r="H85" s="10">
        <v>1</v>
      </c>
      <c r="I85" s="21">
        <v>8070000</v>
      </c>
      <c r="J85" s="18">
        <f t="shared" si="3"/>
        <v>8070000</v>
      </c>
      <c r="K85" s="28"/>
    </row>
    <row r="86" spans="1:11" ht="60" x14ac:dyDescent="0.25">
      <c r="A86" s="5"/>
      <c r="B86" s="14"/>
      <c r="C86" s="10" t="s">
        <v>152</v>
      </c>
      <c r="D86" s="10" t="s">
        <v>153</v>
      </c>
      <c r="E86" s="10" t="s">
        <v>121</v>
      </c>
      <c r="F86" s="10" t="s">
        <v>160</v>
      </c>
      <c r="G86" s="10" t="s">
        <v>10</v>
      </c>
      <c r="H86" s="10">
        <v>1</v>
      </c>
      <c r="I86" s="21">
        <v>8060000</v>
      </c>
      <c r="J86" s="18">
        <f t="shared" si="3"/>
        <v>8060000</v>
      </c>
      <c r="K86" s="28"/>
    </row>
    <row r="87" spans="1:11" ht="60" x14ac:dyDescent="0.25">
      <c r="A87" s="5"/>
      <c r="B87" s="14"/>
      <c r="C87" s="10" t="s">
        <v>154</v>
      </c>
      <c r="D87" s="10" t="s">
        <v>155</v>
      </c>
      <c r="E87" s="10" t="s">
        <v>121</v>
      </c>
      <c r="F87" s="10" t="s">
        <v>160</v>
      </c>
      <c r="G87" s="10" t="s">
        <v>10</v>
      </c>
      <c r="H87" s="10">
        <v>1</v>
      </c>
      <c r="I87" s="21">
        <v>8050000</v>
      </c>
      <c r="J87" s="18">
        <f t="shared" si="3"/>
        <v>8050000</v>
      </c>
      <c r="K87" s="28"/>
    </row>
    <row r="88" spans="1:11" ht="60" x14ac:dyDescent="0.25">
      <c r="A88" s="5"/>
      <c r="B88" s="14"/>
      <c r="C88" s="10" t="s">
        <v>156</v>
      </c>
      <c r="D88" s="10" t="s">
        <v>157</v>
      </c>
      <c r="E88" s="10" t="s">
        <v>121</v>
      </c>
      <c r="F88" s="10" t="s">
        <v>160</v>
      </c>
      <c r="G88" s="10" t="s">
        <v>10</v>
      </c>
      <c r="H88" s="10">
        <v>1</v>
      </c>
      <c r="I88" s="21">
        <v>6060000</v>
      </c>
      <c r="J88" s="18">
        <f t="shared" si="3"/>
        <v>6060000</v>
      </c>
      <c r="K88" s="29"/>
    </row>
    <row r="89" spans="1:11" ht="75" x14ac:dyDescent="0.25">
      <c r="A89" s="5"/>
      <c r="B89" s="14"/>
      <c r="C89" s="10" t="s">
        <v>158</v>
      </c>
      <c r="D89" s="10" t="s">
        <v>159</v>
      </c>
      <c r="E89" s="10" t="s">
        <v>121</v>
      </c>
      <c r="F89" s="10" t="s">
        <v>160</v>
      </c>
      <c r="G89" s="10" t="s">
        <v>10</v>
      </c>
      <c r="H89" s="10">
        <v>1</v>
      </c>
      <c r="I89" s="21">
        <v>6040000</v>
      </c>
      <c r="J89" s="18">
        <f t="shared" si="3"/>
        <v>6040000</v>
      </c>
      <c r="K89" s="27" t="s">
        <v>200</v>
      </c>
    </row>
    <row r="90" spans="1:11" ht="75" x14ac:dyDescent="0.25">
      <c r="A90" s="5"/>
      <c r="B90" s="14"/>
      <c r="C90" s="10" t="s">
        <v>161</v>
      </c>
      <c r="D90" s="10" t="s">
        <v>159</v>
      </c>
      <c r="E90" s="10" t="s">
        <v>121</v>
      </c>
      <c r="F90" s="10" t="s">
        <v>160</v>
      </c>
      <c r="G90" s="10" t="s">
        <v>10</v>
      </c>
      <c r="H90" s="10">
        <v>1</v>
      </c>
      <c r="I90" s="21">
        <v>5950000</v>
      </c>
      <c r="J90" s="18">
        <f t="shared" si="3"/>
        <v>5950000</v>
      </c>
      <c r="K90" s="28"/>
    </row>
    <row r="91" spans="1:11" ht="75" x14ac:dyDescent="0.25">
      <c r="A91" s="5"/>
      <c r="B91" s="14"/>
      <c r="C91" s="10" t="s">
        <v>162</v>
      </c>
      <c r="D91" s="10" t="s">
        <v>159</v>
      </c>
      <c r="E91" s="10" t="s">
        <v>121</v>
      </c>
      <c r="F91" s="10" t="s">
        <v>160</v>
      </c>
      <c r="G91" s="10" t="s">
        <v>10</v>
      </c>
      <c r="H91" s="10">
        <v>1</v>
      </c>
      <c r="I91" s="21">
        <v>6060000</v>
      </c>
      <c r="J91" s="18">
        <f t="shared" si="3"/>
        <v>6060000</v>
      </c>
      <c r="K91" s="28"/>
    </row>
    <row r="92" spans="1:11" ht="75" x14ac:dyDescent="0.25">
      <c r="A92" s="5"/>
      <c r="B92" s="14"/>
      <c r="C92" s="10" t="s">
        <v>163</v>
      </c>
      <c r="D92" s="10" t="s">
        <v>164</v>
      </c>
      <c r="E92" s="10" t="s">
        <v>121</v>
      </c>
      <c r="F92" s="10" t="s">
        <v>160</v>
      </c>
      <c r="G92" s="10" t="s">
        <v>10</v>
      </c>
      <c r="H92" s="10">
        <v>1</v>
      </c>
      <c r="I92" s="21">
        <v>6060000</v>
      </c>
      <c r="J92" s="18">
        <f t="shared" si="3"/>
        <v>6060000</v>
      </c>
      <c r="K92" s="28"/>
    </row>
    <row r="93" spans="1:11" ht="75" x14ac:dyDescent="0.25">
      <c r="A93" s="5"/>
      <c r="B93" s="14"/>
      <c r="C93" s="10" t="s">
        <v>165</v>
      </c>
      <c r="D93" s="10" t="s">
        <v>164</v>
      </c>
      <c r="E93" s="10" t="s">
        <v>121</v>
      </c>
      <c r="F93" s="10" t="s">
        <v>160</v>
      </c>
      <c r="G93" s="10" t="s">
        <v>10</v>
      </c>
      <c r="H93" s="10">
        <v>1</v>
      </c>
      <c r="I93" s="21">
        <v>6060000</v>
      </c>
      <c r="J93" s="18">
        <f t="shared" si="3"/>
        <v>6060000</v>
      </c>
      <c r="K93" s="28"/>
    </row>
    <row r="94" spans="1:11" ht="75" x14ac:dyDescent="0.25">
      <c r="A94" s="5"/>
      <c r="B94" s="14"/>
      <c r="C94" s="10" t="s">
        <v>166</v>
      </c>
      <c r="D94" s="10" t="s">
        <v>164</v>
      </c>
      <c r="E94" s="10" t="s">
        <v>121</v>
      </c>
      <c r="F94" s="10" t="s">
        <v>160</v>
      </c>
      <c r="G94" s="10" t="s">
        <v>10</v>
      </c>
      <c r="H94" s="10">
        <v>1</v>
      </c>
      <c r="I94" s="21">
        <v>6050000</v>
      </c>
      <c r="J94" s="18">
        <f t="shared" si="3"/>
        <v>6050000</v>
      </c>
      <c r="K94" s="28"/>
    </row>
    <row r="95" spans="1:11" ht="75" x14ac:dyDescent="0.25">
      <c r="A95" s="5"/>
      <c r="B95" s="14"/>
      <c r="C95" s="10" t="s">
        <v>167</v>
      </c>
      <c r="D95" s="10" t="s">
        <v>168</v>
      </c>
      <c r="E95" s="10" t="s">
        <v>121</v>
      </c>
      <c r="F95" s="10" t="s">
        <v>160</v>
      </c>
      <c r="G95" s="10" t="s">
        <v>10</v>
      </c>
      <c r="H95" s="10">
        <v>1</v>
      </c>
      <c r="I95" s="21">
        <v>5920000</v>
      </c>
      <c r="J95" s="18">
        <f t="shared" si="3"/>
        <v>5920000</v>
      </c>
      <c r="K95" s="28"/>
    </row>
    <row r="96" spans="1:11" ht="75" x14ac:dyDescent="0.25">
      <c r="A96" s="5"/>
      <c r="B96" s="14"/>
      <c r="C96" s="10" t="s">
        <v>169</v>
      </c>
      <c r="D96" s="10" t="s">
        <v>168</v>
      </c>
      <c r="E96" s="10" t="s">
        <v>121</v>
      </c>
      <c r="F96" s="10" t="s">
        <v>160</v>
      </c>
      <c r="G96" s="10" t="s">
        <v>10</v>
      </c>
      <c r="H96" s="10">
        <v>1</v>
      </c>
      <c r="I96" s="21">
        <v>6040000</v>
      </c>
      <c r="J96" s="18">
        <f t="shared" si="3"/>
        <v>6040000</v>
      </c>
      <c r="K96" s="28"/>
    </row>
    <row r="97" spans="1:11" ht="75" x14ac:dyDescent="0.25">
      <c r="A97" s="5"/>
      <c r="B97" s="14"/>
      <c r="C97" s="10" t="s">
        <v>170</v>
      </c>
      <c r="D97" s="10" t="s">
        <v>168</v>
      </c>
      <c r="E97" s="10" t="s">
        <v>121</v>
      </c>
      <c r="F97" s="10" t="s">
        <v>160</v>
      </c>
      <c r="G97" s="10" t="s">
        <v>10</v>
      </c>
      <c r="H97" s="10">
        <v>1</v>
      </c>
      <c r="I97" s="21">
        <v>6070000</v>
      </c>
      <c r="J97" s="18">
        <f t="shared" si="3"/>
        <v>6070000</v>
      </c>
      <c r="K97" s="28"/>
    </row>
    <row r="98" spans="1:11" ht="75" x14ac:dyDescent="0.25">
      <c r="A98" s="5"/>
      <c r="B98" s="14"/>
      <c r="C98" s="10" t="s">
        <v>171</v>
      </c>
      <c r="D98" s="10" t="s">
        <v>172</v>
      </c>
      <c r="E98" s="10" t="s">
        <v>121</v>
      </c>
      <c r="F98" s="10" t="s">
        <v>160</v>
      </c>
      <c r="G98" s="10" t="s">
        <v>10</v>
      </c>
      <c r="H98" s="10">
        <v>1</v>
      </c>
      <c r="I98" s="21">
        <v>6050000</v>
      </c>
      <c r="J98" s="18">
        <f t="shared" si="3"/>
        <v>6050000</v>
      </c>
      <c r="K98" s="28"/>
    </row>
    <row r="99" spans="1:11" ht="75" x14ac:dyDescent="0.25">
      <c r="A99" s="5"/>
      <c r="B99" s="14"/>
      <c r="C99" s="10" t="s">
        <v>173</v>
      </c>
      <c r="D99" s="10" t="s">
        <v>172</v>
      </c>
      <c r="E99" s="10" t="s">
        <v>121</v>
      </c>
      <c r="F99" s="10" t="s">
        <v>160</v>
      </c>
      <c r="G99" s="10" t="s">
        <v>10</v>
      </c>
      <c r="H99" s="10">
        <v>1</v>
      </c>
      <c r="I99" s="21">
        <v>6040000</v>
      </c>
      <c r="J99" s="18">
        <f t="shared" si="3"/>
        <v>6040000</v>
      </c>
      <c r="K99" s="28"/>
    </row>
    <row r="100" spans="1:11" ht="75" x14ac:dyDescent="0.25">
      <c r="A100" s="5"/>
      <c r="B100" s="14"/>
      <c r="C100" s="10" t="s">
        <v>174</v>
      </c>
      <c r="D100" s="10" t="s">
        <v>172</v>
      </c>
      <c r="E100" s="10" t="s">
        <v>121</v>
      </c>
      <c r="F100" s="10" t="s">
        <v>160</v>
      </c>
      <c r="G100" s="10" t="s">
        <v>10</v>
      </c>
      <c r="H100" s="10">
        <v>1</v>
      </c>
      <c r="I100" s="21">
        <v>6060000</v>
      </c>
      <c r="J100" s="18">
        <f t="shared" si="3"/>
        <v>6060000</v>
      </c>
      <c r="K100" s="28"/>
    </row>
    <row r="101" spans="1:11" ht="75" x14ac:dyDescent="0.25">
      <c r="A101" s="5"/>
      <c r="B101" s="14"/>
      <c r="C101" s="10" t="s">
        <v>175</v>
      </c>
      <c r="D101" s="10" t="s">
        <v>176</v>
      </c>
      <c r="E101" s="10" t="s">
        <v>121</v>
      </c>
      <c r="F101" s="10" t="s">
        <v>160</v>
      </c>
      <c r="G101" s="10" t="s">
        <v>10</v>
      </c>
      <c r="H101" s="10">
        <v>1</v>
      </c>
      <c r="I101" s="21">
        <v>6040000</v>
      </c>
      <c r="J101" s="18">
        <f t="shared" si="3"/>
        <v>6040000</v>
      </c>
      <c r="K101" s="28"/>
    </row>
    <row r="102" spans="1:11" ht="75" x14ac:dyDescent="0.25">
      <c r="A102" s="5"/>
      <c r="B102" s="14"/>
      <c r="C102" s="10" t="s">
        <v>177</v>
      </c>
      <c r="D102" s="10" t="s">
        <v>176</v>
      </c>
      <c r="E102" s="10" t="s">
        <v>121</v>
      </c>
      <c r="F102" s="10" t="s">
        <v>160</v>
      </c>
      <c r="G102" s="10" t="s">
        <v>10</v>
      </c>
      <c r="H102" s="10">
        <v>1</v>
      </c>
      <c r="I102" s="21">
        <v>6070000</v>
      </c>
      <c r="J102" s="18">
        <f t="shared" si="3"/>
        <v>6070000</v>
      </c>
      <c r="K102" s="28"/>
    </row>
    <row r="103" spans="1:11" ht="75" x14ac:dyDescent="0.25">
      <c r="A103" s="5"/>
      <c r="B103" s="14"/>
      <c r="C103" s="10" t="s">
        <v>178</v>
      </c>
      <c r="D103" s="10" t="s">
        <v>176</v>
      </c>
      <c r="E103" s="10" t="s">
        <v>121</v>
      </c>
      <c r="F103" s="10" t="s">
        <v>160</v>
      </c>
      <c r="G103" s="10" t="s">
        <v>10</v>
      </c>
      <c r="H103" s="10">
        <v>1</v>
      </c>
      <c r="I103" s="21">
        <v>5950000</v>
      </c>
      <c r="J103" s="18">
        <f t="shared" si="3"/>
        <v>5950000</v>
      </c>
      <c r="K103" s="28"/>
    </row>
    <row r="104" spans="1:11" ht="75" x14ac:dyDescent="0.25">
      <c r="A104" s="5"/>
      <c r="B104" s="14"/>
      <c r="C104" s="10" t="s">
        <v>179</v>
      </c>
      <c r="D104" s="10" t="s">
        <v>180</v>
      </c>
      <c r="E104" s="10" t="s">
        <v>121</v>
      </c>
      <c r="F104" s="10" t="s">
        <v>160</v>
      </c>
      <c r="G104" s="10" t="s">
        <v>10</v>
      </c>
      <c r="H104" s="10">
        <v>1</v>
      </c>
      <c r="I104" s="21">
        <v>6070000</v>
      </c>
      <c r="J104" s="18">
        <f t="shared" si="3"/>
        <v>6070000</v>
      </c>
      <c r="K104" s="28"/>
    </row>
    <row r="105" spans="1:11" ht="75" x14ac:dyDescent="0.25">
      <c r="A105" s="5"/>
      <c r="B105" s="14"/>
      <c r="C105" s="10" t="s">
        <v>181</v>
      </c>
      <c r="D105" s="10" t="s">
        <v>180</v>
      </c>
      <c r="E105" s="10" t="s">
        <v>121</v>
      </c>
      <c r="F105" s="10" t="s">
        <v>160</v>
      </c>
      <c r="G105" s="10" t="s">
        <v>10</v>
      </c>
      <c r="H105" s="10">
        <v>1</v>
      </c>
      <c r="I105" s="21">
        <v>6060000</v>
      </c>
      <c r="J105" s="18">
        <f t="shared" si="3"/>
        <v>6060000</v>
      </c>
      <c r="K105" s="28"/>
    </row>
    <row r="106" spans="1:11" ht="75" x14ac:dyDescent="0.25">
      <c r="A106" s="5"/>
      <c r="B106" s="14"/>
      <c r="C106" s="10" t="s">
        <v>182</v>
      </c>
      <c r="D106" s="10" t="s">
        <v>180</v>
      </c>
      <c r="E106" s="10" t="s">
        <v>121</v>
      </c>
      <c r="F106" s="10" t="s">
        <v>160</v>
      </c>
      <c r="G106" s="10" t="s">
        <v>10</v>
      </c>
      <c r="H106" s="10">
        <v>1</v>
      </c>
      <c r="I106" s="21">
        <v>5990000</v>
      </c>
      <c r="J106" s="18">
        <f t="shared" si="3"/>
        <v>5990000</v>
      </c>
      <c r="K106" s="28"/>
    </row>
    <row r="107" spans="1:11" ht="75" x14ac:dyDescent="0.25">
      <c r="A107" s="5"/>
      <c r="B107" s="14"/>
      <c r="C107" s="10" t="s">
        <v>183</v>
      </c>
      <c r="D107" s="10" t="s">
        <v>184</v>
      </c>
      <c r="E107" s="10" t="s">
        <v>121</v>
      </c>
      <c r="F107" s="10" t="s">
        <v>160</v>
      </c>
      <c r="G107" s="10" t="s">
        <v>10</v>
      </c>
      <c r="H107" s="10">
        <v>1</v>
      </c>
      <c r="I107" s="21">
        <v>6070000</v>
      </c>
      <c r="J107" s="18">
        <f t="shared" si="3"/>
        <v>6070000</v>
      </c>
      <c r="K107" s="28"/>
    </row>
    <row r="108" spans="1:11" ht="75" x14ac:dyDescent="0.25">
      <c r="A108" s="5"/>
      <c r="B108" s="14"/>
      <c r="C108" s="10" t="s">
        <v>185</v>
      </c>
      <c r="D108" s="10" t="s">
        <v>184</v>
      </c>
      <c r="E108" s="10" t="s">
        <v>121</v>
      </c>
      <c r="F108" s="10" t="s">
        <v>160</v>
      </c>
      <c r="G108" s="10" t="s">
        <v>10</v>
      </c>
      <c r="H108" s="10">
        <v>1</v>
      </c>
      <c r="I108" s="21">
        <v>6210000</v>
      </c>
      <c r="J108" s="18">
        <f t="shared" si="3"/>
        <v>6210000</v>
      </c>
      <c r="K108" s="28"/>
    </row>
    <row r="109" spans="1:11" ht="75" x14ac:dyDescent="0.25">
      <c r="A109" s="5"/>
      <c r="B109" s="14"/>
      <c r="C109" s="10" t="s">
        <v>186</v>
      </c>
      <c r="D109" s="10" t="s">
        <v>184</v>
      </c>
      <c r="E109" s="10" t="s">
        <v>121</v>
      </c>
      <c r="F109" s="10" t="s">
        <v>160</v>
      </c>
      <c r="G109" s="10" t="s">
        <v>10</v>
      </c>
      <c r="H109" s="10">
        <v>1</v>
      </c>
      <c r="I109" s="21">
        <v>6040000</v>
      </c>
      <c r="J109" s="18">
        <f t="shared" si="3"/>
        <v>6040000</v>
      </c>
      <c r="K109" s="28"/>
    </row>
    <row r="110" spans="1:11" ht="75" x14ac:dyDescent="0.25">
      <c r="A110" s="5"/>
      <c r="B110" s="14"/>
      <c r="C110" s="10" t="s">
        <v>187</v>
      </c>
      <c r="D110" s="10" t="s">
        <v>188</v>
      </c>
      <c r="E110" s="10" t="s">
        <v>121</v>
      </c>
      <c r="F110" s="10" t="s">
        <v>160</v>
      </c>
      <c r="G110" s="10" t="s">
        <v>10</v>
      </c>
      <c r="H110" s="10">
        <v>1</v>
      </c>
      <c r="I110" s="21">
        <v>5950000</v>
      </c>
      <c r="J110" s="18">
        <f t="shared" si="3"/>
        <v>5950000</v>
      </c>
      <c r="K110" s="28"/>
    </row>
    <row r="111" spans="1:11" ht="75" x14ac:dyDescent="0.25">
      <c r="A111" s="5"/>
      <c r="B111" s="14"/>
      <c r="C111" s="10" t="s">
        <v>189</v>
      </c>
      <c r="D111" s="10" t="s">
        <v>188</v>
      </c>
      <c r="E111" s="10" t="s">
        <v>121</v>
      </c>
      <c r="F111" s="10" t="s">
        <v>160</v>
      </c>
      <c r="G111" s="10" t="s">
        <v>10</v>
      </c>
      <c r="H111" s="10">
        <v>1</v>
      </c>
      <c r="I111" s="21">
        <v>6060000</v>
      </c>
      <c r="J111" s="18">
        <f t="shared" si="3"/>
        <v>6060000</v>
      </c>
      <c r="K111" s="28"/>
    </row>
    <row r="112" spans="1:11" ht="75" x14ac:dyDescent="0.25">
      <c r="A112" s="5"/>
      <c r="B112" s="14"/>
      <c r="C112" s="10" t="s">
        <v>190</v>
      </c>
      <c r="D112" s="10" t="s">
        <v>188</v>
      </c>
      <c r="E112" s="10" t="s">
        <v>121</v>
      </c>
      <c r="F112" s="10" t="s">
        <v>160</v>
      </c>
      <c r="G112" s="10" t="s">
        <v>10</v>
      </c>
      <c r="H112" s="10">
        <v>1</v>
      </c>
      <c r="I112" s="21">
        <v>6060000</v>
      </c>
      <c r="J112" s="18">
        <f t="shared" si="3"/>
        <v>6060000</v>
      </c>
      <c r="K112" s="28"/>
    </row>
    <row r="113" spans="1:11" ht="75" x14ac:dyDescent="0.25">
      <c r="A113" s="5"/>
      <c r="B113" s="14"/>
      <c r="C113" s="10" t="s">
        <v>191</v>
      </c>
      <c r="D113" s="10" t="s">
        <v>192</v>
      </c>
      <c r="E113" s="10" t="s">
        <v>121</v>
      </c>
      <c r="F113" s="10" t="s">
        <v>160</v>
      </c>
      <c r="G113" s="10" t="s">
        <v>10</v>
      </c>
      <c r="H113" s="10">
        <v>1</v>
      </c>
      <c r="I113" s="21">
        <v>6070000</v>
      </c>
      <c r="J113" s="18">
        <f t="shared" si="3"/>
        <v>6070000</v>
      </c>
      <c r="K113" s="28"/>
    </row>
    <row r="114" spans="1:11" ht="75" x14ac:dyDescent="0.25">
      <c r="A114" s="5"/>
      <c r="B114" s="14"/>
      <c r="C114" s="10" t="s">
        <v>193</v>
      </c>
      <c r="D114" s="10" t="s">
        <v>192</v>
      </c>
      <c r="E114" s="10" t="s">
        <v>121</v>
      </c>
      <c r="F114" s="10" t="s">
        <v>160</v>
      </c>
      <c r="G114" s="10" t="s">
        <v>10</v>
      </c>
      <c r="H114" s="10">
        <v>1</v>
      </c>
      <c r="I114" s="21">
        <v>6040000</v>
      </c>
      <c r="J114" s="18">
        <f t="shared" si="3"/>
        <v>6040000</v>
      </c>
      <c r="K114" s="28"/>
    </row>
    <row r="115" spans="1:11" ht="75" x14ac:dyDescent="0.25">
      <c r="A115" s="5"/>
      <c r="B115" s="14"/>
      <c r="C115" s="10" t="s">
        <v>194</v>
      </c>
      <c r="D115" s="10" t="s">
        <v>192</v>
      </c>
      <c r="E115" s="10" t="s">
        <v>121</v>
      </c>
      <c r="F115" s="10" t="s">
        <v>160</v>
      </c>
      <c r="G115" s="10" t="s">
        <v>10</v>
      </c>
      <c r="H115" s="10">
        <v>1</v>
      </c>
      <c r="I115" s="21">
        <v>6050000</v>
      </c>
      <c r="J115" s="18">
        <f t="shared" si="3"/>
        <v>6050000</v>
      </c>
      <c r="K115" s="28"/>
    </row>
    <row r="116" spans="1:11" ht="75" x14ac:dyDescent="0.25">
      <c r="A116" s="5"/>
      <c r="B116" s="14"/>
      <c r="C116" s="10" t="s">
        <v>195</v>
      </c>
      <c r="D116" s="10" t="s">
        <v>196</v>
      </c>
      <c r="E116" s="10" t="s">
        <v>121</v>
      </c>
      <c r="F116" s="10" t="s">
        <v>160</v>
      </c>
      <c r="G116" s="10" t="s">
        <v>10</v>
      </c>
      <c r="H116" s="10">
        <v>1</v>
      </c>
      <c r="I116" s="21">
        <v>6070000</v>
      </c>
      <c r="J116" s="18">
        <f t="shared" si="3"/>
        <v>6070000</v>
      </c>
      <c r="K116" s="28"/>
    </row>
    <row r="117" spans="1:11" ht="75" x14ac:dyDescent="0.25">
      <c r="A117" s="5"/>
      <c r="B117" s="14"/>
      <c r="C117" s="10" t="s">
        <v>197</v>
      </c>
      <c r="D117" s="10" t="s">
        <v>196</v>
      </c>
      <c r="E117" s="10" t="s">
        <v>121</v>
      </c>
      <c r="F117" s="10" t="s">
        <v>160</v>
      </c>
      <c r="G117" s="10" t="s">
        <v>10</v>
      </c>
      <c r="H117" s="10">
        <v>1</v>
      </c>
      <c r="I117" s="21">
        <v>6060000</v>
      </c>
      <c r="J117" s="18">
        <f t="shared" si="3"/>
        <v>6060000</v>
      </c>
      <c r="K117" s="28"/>
    </row>
    <row r="118" spans="1:11" ht="75" x14ac:dyDescent="0.25">
      <c r="A118" s="5"/>
      <c r="B118" s="14"/>
      <c r="C118" s="10" t="s">
        <v>198</v>
      </c>
      <c r="D118" s="10" t="s">
        <v>196</v>
      </c>
      <c r="E118" s="10" t="s">
        <v>121</v>
      </c>
      <c r="F118" s="10" t="s">
        <v>160</v>
      </c>
      <c r="G118" s="10" t="s">
        <v>10</v>
      </c>
      <c r="H118" s="10">
        <v>1</v>
      </c>
      <c r="I118" s="21">
        <v>0</v>
      </c>
      <c r="J118" s="18">
        <f t="shared" si="3"/>
        <v>0</v>
      </c>
      <c r="K118" s="29"/>
    </row>
    <row r="119" spans="1:11" x14ac:dyDescent="0.25">
      <c r="A119" s="5"/>
      <c r="B119" s="14" t="s">
        <v>212</v>
      </c>
      <c r="C119" s="10"/>
      <c r="D119" s="10"/>
      <c r="E119" s="10"/>
      <c r="F119" s="10"/>
      <c r="G119" s="10"/>
      <c r="H119" s="10"/>
      <c r="I119" s="21"/>
      <c r="J119" s="18">
        <f t="shared" si="3"/>
        <v>0</v>
      </c>
      <c r="K119" s="10"/>
    </row>
    <row r="120" spans="1:11" ht="30" customHeight="1" x14ac:dyDescent="0.25">
      <c r="A120" s="5"/>
      <c r="B120" s="14"/>
      <c r="C120" s="10" t="s">
        <v>213</v>
      </c>
      <c r="D120" s="10" t="s">
        <v>214</v>
      </c>
      <c r="E120" s="10" t="s">
        <v>121</v>
      </c>
      <c r="F120" s="10" t="s">
        <v>18</v>
      </c>
      <c r="G120" s="10" t="s">
        <v>16</v>
      </c>
      <c r="H120" s="10"/>
      <c r="I120" s="21">
        <v>5960000</v>
      </c>
      <c r="J120" s="18">
        <f t="shared" si="3"/>
        <v>0</v>
      </c>
      <c r="K120" s="12" t="s">
        <v>219</v>
      </c>
    </row>
    <row r="121" spans="1:11" ht="30" customHeight="1" x14ac:dyDescent="0.25">
      <c r="A121" s="5"/>
      <c r="B121" s="14"/>
      <c r="C121" s="10" t="s">
        <v>215</v>
      </c>
      <c r="D121" s="10" t="s">
        <v>216</v>
      </c>
      <c r="E121" s="10" t="s">
        <v>121</v>
      </c>
      <c r="F121" s="10" t="s">
        <v>18</v>
      </c>
      <c r="G121" s="10" t="s">
        <v>16</v>
      </c>
      <c r="H121" s="10"/>
      <c r="I121" s="21">
        <v>7030000</v>
      </c>
      <c r="J121" s="18">
        <f t="shared" si="3"/>
        <v>0</v>
      </c>
      <c r="K121" s="12" t="s">
        <v>220</v>
      </c>
    </row>
    <row r="122" spans="1:11" ht="30" x14ac:dyDescent="0.25">
      <c r="A122" s="5"/>
      <c r="B122" s="14"/>
      <c r="C122" s="10" t="s">
        <v>217</v>
      </c>
      <c r="D122" s="10" t="s">
        <v>218</v>
      </c>
      <c r="E122" s="10" t="s">
        <v>121</v>
      </c>
      <c r="F122" s="10" t="s">
        <v>18</v>
      </c>
      <c r="G122" s="10" t="s">
        <v>16</v>
      </c>
      <c r="H122" s="10"/>
      <c r="I122" s="21">
        <v>4690000</v>
      </c>
      <c r="J122" s="18">
        <f t="shared" si="3"/>
        <v>0</v>
      </c>
      <c r="K122" s="12" t="s">
        <v>221</v>
      </c>
    </row>
    <row r="123" spans="1:11" ht="30" customHeight="1" x14ac:dyDescent="0.25">
      <c r="A123" s="5"/>
      <c r="B123" s="14"/>
      <c r="C123" s="10" t="s">
        <v>202</v>
      </c>
      <c r="D123" s="10" t="s">
        <v>201</v>
      </c>
      <c r="E123" s="10" t="s">
        <v>121</v>
      </c>
      <c r="F123" s="10" t="s">
        <v>18</v>
      </c>
      <c r="G123" s="10" t="s">
        <v>16</v>
      </c>
      <c r="H123" s="10">
        <v>1</v>
      </c>
      <c r="I123" s="21">
        <v>5460000</v>
      </c>
      <c r="J123" s="18">
        <f t="shared" si="3"/>
        <v>5460000</v>
      </c>
      <c r="K123" s="12" t="s">
        <v>205</v>
      </c>
    </row>
    <row r="124" spans="1:11" ht="45" customHeight="1" x14ac:dyDescent="0.25">
      <c r="A124" s="5"/>
      <c r="B124" s="14"/>
      <c r="C124" s="10" t="s">
        <v>204</v>
      </c>
      <c r="D124" s="10" t="s">
        <v>203</v>
      </c>
      <c r="E124" s="10" t="s">
        <v>121</v>
      </c>
      <c r="F124" s="10" t="s">
        <v>18</v>
      </c>
      <c r="G124" s="10" t="s">
        <v>16</v>
      </c>
      <c r="H124" s="10">
        <v>1</v>
      </c>
      <c r="I124" s="21">
        <v>13530000</v>
      </c>
      <c r="J124" s="18">
        <f t="shared" si="3"/>
        <v>13530000</v>
      </c>
      <c r="K124" s="12" t="s">
        <v>206</v>
      </c>
    </row>
    <row r="125" spans="1:11" ht="30" customHeight="1" x14ac:dyDescent="0.25">
      <c r="A125" s="5"/>
      <c r="B125" s="14"/>
      <c r="C125" s="10" t="s">
        <v>208</v>
      </c>
      <c r="D125" s="10" t="s">
        <v>209</v>
      </c>
      <c r="E125" s="10" t="s">
        <v>121</v>
      </c>
      <c r="F125" s="10" t="s">
        <v>18</v>
      </c>
      <c r="G125" s="10" t="s">
        <v>16</v>
      </c>
      <c r="H125" s="10">
        <v>1</v>
      </c>
      <c r="I125" s="21">
        <v>16480000</v>
      </c>
      <c r="J125" s="18">
        <f t="shared" si="3"/>
        <v>16480000</v>
      </c>
      <c r="K125" s="12" t="s">
        <v>207</v>
      </c>
    </row>
    <row r="126" spans="1:11" x14ac:dyDescent="0.25">
      <c r="A126" s="5"/>
      <c r="B126" s="14" t="s">
        <v>222</v>
      </c>
      <c r="C126" s="10"/>
      <c r="D126" s="10"/>
      <c r="E126" s="10"/>
      <c r="F126" s="10"/>
      <c r="G126" s="10"/>
      <c r="H126" s="10"/>
      <c r="I126" s="21"/>
      <c r="J126" s="18"/>
      <c r="K126" s="12"/>
    </row>
    <row r="127" spans="1:11" ht="45" customHeight="1" x14ac:dyDescent="0.25">
      <c r="A127" s="5"/>
      <c r="B127" s="14"/>
      <c r="C127" s="10">
        <v>26616</v>
      </c>
      <c r="D127" s="10" t="s">
        <v>229</v>
      </c>
      <c r="E127" s="10" t="s">
        <v>121</v>
      </c>
      <c r="F127" s="10" t="s">
        <v>228</v>
      </c>
      <c r="G127" s="10" t="s">
        <v>244</v>
      </c>
      <c r="H127" s="10">
        <v>1</v>
      </c>
      <c r="I127" s="21">
        <v>6276000</v>
      </c>
      <c r="J127" s="18">
        <f t="shared" si="3"/>
        <v>6276000</v>
      </c>
      <c r="K127" s="27" t="s">
        <v>223</v>
      </c>
    </row>
    <row r="128" spans="1:11" ht="45" customHeight="1" x14ac:dyDescent="0.25">
      <c r="A128" s="5"/>
      <c r="B128" s="14"/>
      <c r="C128" s="10">
        <v>26619</v>
      </c>
      <c r="D128" s="10" t="s">
        <v>230</v>
      </c>
      <c r="E128" s="10" t="s">
        <v>121</v>
      </c>
      <c r="F128" s="10" t="s">
        <v>228</v>
      </c>
      <c r="G128" s="10" t="s">
        <v>244</v>
      </c>
      <c r="H128" s="10">
        <v>1</v>
      </c>
      <c r="I128" s="21">
        <v>7399000</v>
      </c>
      <c r="J128" s="18">
        <f t="shared" si="3"/>
        <v>7399000</v>
      </c>
      <c r="K128" s="29"/>
    </row>
    <row r="129" spans="1:11" ht="45" customHeight="1" x14ac:dyDescent="0.25">
      <c r="A129" s="5"/>
      <c r="B129" s="14"/>
      <c r="C129" s="10">
        <v>26614</v>
      </c>
      <c r="D129" s="10" t="s">
        <v>231</v>
      </c>
      <c r="E129" s="10" t="s">
        <v>121</v>
      </c>
      <c r="F129" s="10" t="s">
        <v>228</v>
      </c>
      <c r="G129" s="10" t="s">
        <v>244</v>
      </c>
      <c r="H129" s="10">
        <v>1</v>
      </c>
      <c r="I129" s="21">
        <v>4932000</v>
      </c>
      <c r="J129" s="18">
        <f t="shared" si="3"/>
        <v>4932000</v>
      </c>
      <c r="K129" s="27" t="s">
        <v>224</v>
      </c>
    </row>
    <row r="130" spans="1:11" ht="45" customHeight="1" x14ac:dyDescent="0.25">
      <c r="A130" s="5"/>
      <c r="B130" s="14"/>
      <c r="C130" s="10">
        <v>26630</v>
      </c>
      <c r="D130" s="10" t="s">
        <v>232</v>
      </c>
      <c r="E130" s="10" t="s">
        <v>121</v>
      </c>
      <c r="F130" s="10" t="s">
        <v>228</v>
      </c>
      <c r="G130" s="10" t="s">
        <v>244</v>
      </c>
      <c r="H130" s="10">
        <v>1</v>
      </c>
      <c r="I130" s="21">
        <v>5751000</v>
      </c>
      <c r="J130" s="18">
        <f t="shared" si="3"/>
        <v>5751000</v>
      </c>
      <c r="K130" s="29"/>
    </row>
    <row r="131" spans="1:11" ht="180" x14ac:dyDescent="0.25">
      <c r="A131" s="5"/>
      <c r="B131" s="14"/>
      <c r="C131" s="10" t="s">
        <v>225</v>
      </c>
      <c r="D131" s="10" t="s">
        <v>234</v>
      </c>
      <c r="E131" s="10" t="s">
        <v>121</v>
      </c>
      <c r="F131" s="10" t="s">
        <v>233</v>
      </c>
      <c r="G131" s="10" t="s">
        <v>244</v>
      </c>
      <c r="H131" s="10">
        <v>1</v>
      </c>
      <c r="I131" s="21">
        <v>14244000</v>
      </c>
      <c r="J131" s="18">
        <f t="shared" si="3"/>
        <v>14244000</v>
      </c>
      <c r="K131" s="16" t="s">
        <v>235</v>
      </c>
    </row>
    <row r="132" spans="1:11" ht="120" x14ac:dyDescent="0.25">
      <c r="A132" s="5"/>
      <c r="B132" s="14"/>
      <c r="C132" s="10" t="s">
        <v>226</v>
      </c>
      <c r="D132" s="10" t="s">
        <v>227</v>
      </c>
      <c r="E132" s="10" t="s">
        <v>121</v>
      </c>
      <c r="F132" s="10"/>
      <c r="G132" s="10" t="s">
        <v>244</v>
      </c>
      <c r="H132" s="10">
        <v>1</v>
      </c>
      <c r="I132" s="21">
        <v>17343000</v>
      </c>
      <c r="J132" s="18">
        <f t="shared" si="3"/>
        <v>17343000</v>
      </c>
      <c r="K132" s="26" t="s">
        <v>236</v>
      </c>
    </row>
    <row r="133" spans="1:11" x14ac:dyDescent="0.25">
      <c r="A133" s="5"/>
      <c r="B133" s="14" t="s">
        <v>237</v>
      </c>
      <c r="C133" s="10"/>
      <c r="D133" s="10"/>
      <c r="E133" s="10"/>
      <c r="F133" s="10"/>
      <c r="G133" s="10"/>
      <c r="H133" s="10"/>
      <c r="I133" s="21"/>
      <c r="J133" s="18"/>
      <c r="K133" s="12"/>
    </row>
    <row r="134" spans="1:11" ht="30" x14ac:dyDescent="0.25">
      <c r="A134" s="5"/>
      <c r="B134" s="14"/>
      <c r="C134" s="10" t="s">
        <v>238</v>
      </c>
      <c r="D134" s="10" t="s">
        <v>239</v>
      </c>
      <c r="E134" s="10" t="s">
        <v>121</v>
      </c>
      <c r="F134" s="10" t="s">
        <v>243</v>
      </c>
      <c r="G134" s="10"/>
      <c r="H134" s="10">
        <v>1</v>
      </c>
      <c r="I134" s="21">
        <v>14244000</v>
      </c>
      <c r="J134" s="18">
        <f t="shared" si="3"/>
        <v>14244000</v>
      </c>
      <c r="K134" s="12" t="s">
        <v>240</v>
      </c>
    </row>
    <row r="135" spans="1:11" ht="30" x14ac:dyDescent="0.25">
      <c r="A135" s="5"/>
      <c r="B135" s="14"/>
      <c r="C135" s="10">
        <v>24612</v>
      </c>
      <c r="D135" s="10" t="s">
        <v>241</v>
      </c>
      <c r="E135" s="10" t="s">
        <v>121</v>
      </c>
      <c r="F135" s="10" t="s">
        <v>242</v>
      </c>
      <c r="G135" s="10"/>
      <c r="H135" s="10">
        <v>1</v>
      </c>
      <c r="I135" s="21">
        <v>17343000</v>
      </c>
      <c r="J135" s="18">
        <f t="shared" ref="J135:J138" si="4">I135*H135</f>
        <v>17343000</v>
      </c>
      <c r="K135" s="12" t="s">
        <v>245</v>
      </c>
    </row>
    <row r="136" spans="1:11" x14ac:dyDescent="0.25">
      <c r="A136" s="5"/>
      <c r="B136" s="14" t="s">
        <v>246</v>
      </c>
      <c r="C136" s="10"/>
      <c r="D136" s="10"/>
      <c r="E136" s="10"/>
      <c r="F136" s="10"/>
      <c r="G136" s="10"/>
      <c r="H136" s="10"/>
      <c r="I136" s="21"/>
      <c r="J136" s="18"/>
      <c r="K136" s="12"/>
    </row>
    <row r="137" spans="1:11" ht="30" x14ac:dyDescent="0.25">
      <c r="A137" s="5"/>
      <c r="B137" s="14"/>
      <c r="C137" s="10">
        <v>23235</v>
      </c>
      <c r="D137" s="10" t="s">
        <v>248</v>
      </c>
      <c r="E137" s="10" t="s">
        <v>14</v>
      </c>
      <c r="F137" s="10" t="s">
        <v>18</v>
      </c>
      <c r="G137" s="10"/>
      <c r="H137" s="10">
        <v>1</v>
      </c>
      <c r="I137" s="21">
        <v>11755000</v>
      </c>
      <c r="J137" s="18">
        <f t="shared" si="4"/>
        <v>11755000</v>
      </c>
      <c r="K137" s="12" t="s">
        <v>251</v>
      </c>
    </row>
    <row r="138" spans="1:11" ht="30" x14ac:dyDescent="0.25">
      <c r="A138" s="5"/>
      <c r="B138" s="14"/>
      <c r="C138" s="10">
        <v>23200</v>
      </c>
      <c r="D138" s="10" t="s">
        <v>249</v>
      </c>
      <c r="E138" s="10" t="s">
        <v>14</v>
      </c>
      <c r="F138" s="10" t="s">
        <v>250</v>
      </c>
      <c r="G138" s="10"/>
      <c r="H138" s="10">
        <v>1</v>
      </c>
      <c r="I138" s="21">
        <v>7331000</v>
      </c>
      <c r="J138" s="18">
        <f t="shared" si="4"/>
        <v>7331000</v>
      </c>
      <c r="K138" s="12" t="s">
        <v>252</v>
      </c>
    </row>
    <row r="139" spans="1:11" ht="30" x14ac:dyDescent="0.25">
      <c r="A139" s="5"/>
      <c r="B139" s="14" t="s">
        <v>254</v>
      </c>
      <c r="C139" s="10"/>
      <c r="D139" s="10"/>
      <c r="E139" s="10"/>
      <c r="F139" s="10"/>
      <c r="G139" s="10"/>
      <c r="H139" s="10"/>
      <c r="I139" s="21"/>
      <c r="J139" s="18"/>
      <c r="K139" s="12" t="s">
        <v>253</v>
      </c>
    </row>
    <row r="140" spans="1:11" x14ac:dyDescent="0.25">
      <c r="A140" s="5"/>
      <c r="B140" s="14" t="s">
        <v>255</v>
      </c>
      <c r="C140" s="10"/>
      <c r="D140" s="10"/>
      <c r="E140" s="10"/>
      <c r="F140" s="10"/>
      <c r="G140" s="10"/>
      <c r="H140" s="10"/>
      <c r="I140" s="21"/>
      <c r="J140" s="18"/>
      <c r="K140" s="27" t="s">
        <v>261</v>
      </c>
    </row>
    <row r="141" spans="1:11" x14ac:dyDescent="0.25">
      <c r="A141" s="5"/>
      <c r="B141" s="14"/>
      <c r="C141" s="17"/>
      <c r="D141" s="10" t="s">
        <v>256</v>
      </c>
      <c r="E141" s="10"/>
      <c r="F141" s="10"/>
      <c r="G141" s="10"/>
      <c r="H141" s="10"/>
      <c r="I141" s="21"/>
      <c r="J141" s="18"/>
      <c r="K141" s="28"/>
    </row>
    <row r="142" spans="1:11" x14ac:dyDescent="0.25">
      <c r="A142" s="5"/>
      <c r="B142" s="14"/>
      <c r="C142" s="17"/>
      <c r="D142" s="10" t="s">
        <v>257</v>
      </c>
      <c r="E142" s="10"/>
      <c r="F142" s="10"/>
      <c r="G142" s="10"/>
      <c r="H142" s="10"/>
      <c r="I142" s="21"/>
      <c r="J142" s="18"/>
      <c r="K142" s="28"/>
    </row>
    <row r="143" spans="1:11" x14ac:dyDescent="0.25">
      <c r="A143" s="5"/>
      <c r="B143" s="14"/>
      <c r="C143" s="17"/>
      <c r="D143" s="10" t="s">
        <v>258</v>
      </c>
      <c r="E143" s="10"/>
      <c r="F143" s="10"/>
      <c r="G143" s="10"/>
      <c r="H143" s="10"/>
      <c r="I143" s="21"/>
      <c r="J143" s="18"/>
      <c r="K143" s="28"/>
    </row>
    <row r="144" spans="1:11" x14ac:dyDescent="0.25">
      <c r="A144" s="5"/>
      <c r="B144" s="14"/>
      <c r="C144" s="17"/>
      <c r="D144" s="10" t="s">
        <v>259</v>
      </c>
      <c r="E144" s="10"/>
      <c r="F144" s="10"/>
      <c r="G144" s="10"/>
      <c r="H144" s="10"/>
      <c r="I144" s="21"/>
      <c r="J144" s="18"/>
      <c r="K144" s="28"/>
    </row>
    <row r="145" spans="1:11" ht="45" x14ac:dyDescent="0.25">
      <c r="A145" s="5"/>
      <c r="B145" s="14"/>
      <c r="C145" s="17"/>
      <c r="D145" s="10" t="s">
        <v>260</v>
      </c>
      <c r="E145" s="10"/>
      <c r="F145" s="10"/>
      <c r="G145" s="10"/>
      <c r="H145" s="10"/>
      <c r="I145" s="21"/>
      <c r="J145" s="18"/>
      <c r="K145" s="29"/>
    </row>
    <row r="146" spans="1:11" x14ac:dyDescent="0.25">
      <c r="A146" s="5"/>
      <c r="B146" s="14" t="s">
        <v>264</v>
      </c>
      <c r="C146" s="10"/>
      <c r="D146" s="10"/>
      <c r="E146" s="10"/>
      <c r="F146" s="10"/>
      <c r="G146" s="10"/>
      <c r="H146" s="10"/>
      <c r="I146" s="21"/>
      <c r="J146" s="18"/>
      <c r="K146" s="12"/>
    </row>
    <row r="147" spans="1:11" ht="135" x14ac:dyDescent="0.25">
      <c r="A147" s="5"/>
      <c r="B147" s="14"/>
      <c r="C147" s="10"/>
      <c r="D147" s="10" t="s">
        <v>262</v>
      </c>
      <c r="E147" s="10"/>
      <c r="F147" s="10"/>
      <c r="G147" s="10"/>
      <c r="H147" s="10"/>
      <c r="I147" s="21"/>
      <c r="J147" s="18"/>
      <c r="K147" s="12" t="s">
        <v>263</v>
      </c>
    </row>
    <row r="148" spans="1:11" ht="15.75" customHeight="1" x14ac:dyDescent="0.25">
      <c r="A148" s="2"/>
      <c r="B148" s="34" t="s">
        <v>11</v>
      </c>
      <c r="C148" s="34"/>
      <c r="D148" s="34"/>
      <c r="E148" s="34"/>
      <c r="F148" s="34"/>
      <c r="G148" s="34"/>
      <c r="H148" s="34"/>
      <c r="I148" s="34"/>
      <c r="J148" s="18"/>
      <c r="K148" s="9"/>
    </row>
    <row r="149" spans="1:11" ht="15.75" customHeight="1" x14ac:dyDescent="0.25">
      <c r="A149" s="1"/>
      <c r="B149" s="7"/>
      <c r="C149" s="1"/>
      <c r="D149" s="35"/>
      <c r="E149" s="35"/>
      <c r="F149" s="35"/>
      <c r="G149" s="36"/>
      <c r="H149" s="36"/>
      <c r="I149" s="24"/>
      <c r="J149" s="1"/>
      <c r="K149" s="1"/>
    </row>
    <row r="150" spans="1:11" ht="15.75" customHeight="1" x14ac:dyDescent="0.25">
      <c r="A150" s="1"/>
      <c r="B150" s="7"/>
      <c r="C150" s="1"/>
      <c r="D150" s="35"/>
      <c r="E150" s="35"/>
      <c r="F150" s="35"/>
      <c r="G150" s="37" t="s">
        <v>12</v>
      </c>
      <c r="H150" s="37"/>
      <c r="I150" s="24"/>
      <c r="J150" s="1"/>
      <c r="K150" s="1"/>
    </row>
  </sheetData>
  <mergeCells count="25">
    <mergeCell ref="D150:F150"/>
    <mergeCell ref="G150:H150"/>
    <mergeCell ref="B148:I148"/>
    <mergeCell ref="K55:K56"/>
    <mergeCell ref="D55:D56"/>
    <mergeCell ref="D149:F149"/>
    <mergeCell ref="G149:H149"/>
    <mergeCell ref="K35:K36"/>
    <mergeCell ref="D45:D47"/>
    <mergeCell ref="K49:K52"/>
    <mergeCell ref="K53:K54"/>
    <mergeCell ref="K5:K6"/>
    <mergeCell ref="D5:D6"/>
    <mergeCell ref="D7:D9"/>
    <mergeCell ref="K7:K9"/>
    <mergeCell ref="K14:K15"/>
    <mergeCell ref="K16:K19"/>
    <mergeCell ref="K20:K25"/>
    <mergeCell ref="K26:K29"/>
    <mergeCell ref="K140:K145"/>
    <mergeCell ref="K63:K65"/>
    <mergeCell ref="K71:K88"/>
    <mergeCell ref="K89:K118"/>
    <mergeCell ref="K127:K128"/>
    <mergeCell ref="K129:K130"/>
  </mergeCells>
  <phoneticPr fontId="9" type="noConversion"/>
  <printOptions horizontalCentered="1"/>
  <pageMargins left="0" right="0" top="0.58999997377395597" bottom="0.58999997377395597" header="0.5" footer="0.5"/>
  <pageSetup paperSize="9" orientation="portrait" r:id="rId1"/>
  <ignoredErrors>
    <ignoredError sqref="A148:I148 K148 A1:K2 A149:K151" numberStoredAsText="1"/>
  </ignoredError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in tài liệu kinh doanh</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Mẫu in tài liệu kinh doanh</dc:title>
  <dc:subject>Mẫu in tài liệu kinh doanh</dc:subject>
  <dc:creator>Bravo 8 4.6.3.1</dc:creator>
  <cp:keywords/>
  <dc:description/>
  <cp:lastModifiedBy>Thanh Nguyen Trung</cp:lastModifiedBy>
  <dcterms:created xsi:type="dcterms:W3CDTF">2025-12-10T02:29:26Z</dcterms:created>
  <dcterms:modified xsi:type="dcterms:W3CDTF">2025-12-15T09:21:32Z</dcterms:modified>
  <cp:category/>
</cp:coreProperties>
</file>